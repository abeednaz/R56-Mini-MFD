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ed/Documents/R56 Mini MFD/Repo/R56-Mini-MFD/Logs/"/>
    </mc:Choice>
  </mc:AlternateContent>
  <xr:revisionPtr revIDLastSave="0" documentId="13_ncr:1_{C0FC11A1-6E8F-6943-BF48-041FD3A211B6}" xr6:coauthVersionLast="36" xr6:coauthVersionMax="36" xr10:uidLastSave="{00000000-0000-0000-0000-000000000000}"/>
  <bookViews>
    <workbookView xWindow="380" yWindow="500" windowWidth="28040" windowHeight="16940" xr2:uid="{79C45918-C2CC-D248-818B-D3241A26E3A3}"/>
  </bookViews>
  <sheets>
    <sheet name="Pivot chart" sheetId="2" r:id="rId1"/>
    <sheet name="Data" sheetId="1" r:id="rId2"/>
    <sheet name="Boost, oil pressure" sheetId="4" r:id="rId3"/>
    <sheet name="Fuel rail pressure" sheetId="5" r:id="rId4"/>
    <sheet name="Fuel economy summary" sheetId="3" r:id="rId5"/>
  </sheets>
  <definedNames>
    <definedName name="_xlnm._FilterDatabase" localSheetId="1" hidden="1">Data!$A$1:$I$1883</definedName>
  </definedNames>
  <calcPr calcId="18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2" i="4"/>
  <c r="C4" i="3" l="1"/>
  <c r="D4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2" i="1"/>
</calcChain>
</file>

<file path=xl/sharedStrings.xml><?xml version="1.0" encoding="utf-8"?>
<sst xmlns="http://schemas.openxmlformats.org/spreadsheetml/2006/main" count="9530" uniqueCount="88">
  <si>
    <t>timetag</t>
  </si>
  <si>
    <t>sensor</t>
  </si>
  <si>
    <t>service</t>
  </si>
  <si>
    <t>PID</t>
  </si>
  <si>
    <t>raw_value</t>
  </si>
  <si>
    <t>proc_value</t>
  </si>
  <si>
    <t>unit</t>
  </si>
  <si>
    <t>OilTemp</t>
  </si>
  <si>
    <t>0x22</t>
  </si>
  <si>
    <t>0x5822</t>
  </si>
  <si>
    <t>degC</t>
  </si>
  <si>
    <t>CoolantTemp</t>
  </si>
  <si>
    <t>0x4300</t>
  </si>
  <si>
    <t>AmbientPressure</t>
  </si>
  <si>
    <t>0x5834</t>
  </si>
  <si>
    <t>hPa</t>
  </si>
  <si>
    <t>Range</t>
  </si>
  <si>
    <t>0x4411</t>
  </si>
  <si>
    <t>N/A</t>
  </si>
  <si>
    <t>BoostPressure</t>
  </si>
  <si>
    <t>0x4205</t>
  </si>
  <si>
    <t>EngineSpeed</t>
  </si>
  <si>
    <t>0x4807</t>
  </si>
  <si>
    <t>rpm</t>
  </si>
  <si>
    <t>Gear</t>
  </si>
  <si>
    <t>0x5881</t>
  </si>
  <si>
    <t>-</t>
  </si>
  <si>
    <t>BatteryVoltage</t>
  </si>
  <si>
    <t>0x460c</t>
  </si>
  <si>
    <t>V</t>
  </si>
  <si>
    <t>OilPressure</t>
  </si>
  <si>
    <t>0x586f</t>
  </si>
  <si>
    <t>LambdaSetpoint</t>
  </si>
  <si>
    <t>0x5816</t>
  </si>
  <si>
    <t>LambdaActual</t>
  </si>
  <si>
    <t>0x5889</t>
  </si>
  <si>
    <t>Speed</t>
  </si>
  <si>
    <t>0x4ab1</t>
  </si>
  <si>
    <t>AccelLongitudinal</t>
  </si>
  <si>
    <t>0x4811</t>
  </si>
  <si>
    <t>AccelLateral</t>
  </si>
  <si>
    <t>0x4812</t>
  </si>
  <si>
    <t>FuelRailPress(Filtered)</t>
  </si>
  <si>
    <t>0x58ef</t>
  </si>
  <si>
    <t>MPa</t>
  </si>
  <si>
    <t>BrakePressure</t>
  </si>
  <si>
    <t>0x58b7</t>
  </si>
  <si>
    <t>TripTime</t>
  </si>
  <si>
    <t>0x5800</t>
  </si>
  <si>
    <t>s</t>
  </si>
  <si>
    <t>MAP</t>
  </si>
  <si>
    <t>0x580b</t>
  </si>
  <si>
    <t>IAT</t>
  </si>
  <si>
    <t>0x580f</t>
  </si>
  <si>
    <t>AirMassFlow</t>
  </si>
  <si>
    <t>0x5818</t>
  </si>
  <si>
    <t>kg/hr</t>
  </si>
  <si>
    <t>FuelFlowRate</t>
  </si>
  <si>
    <t>0x4521</t>
  </si>
  <si>
    <t>FuelCons</t>
  </si>
  <si>
    <t>0x4abf</t>
  </si>
  <si>
    <t>FuelCons_Regulated</t>
  </si>
  <si>
    <t>0x4ac0</t>
  </si>
  <si>
    <t>FuelMassHomogeneousCyl0</t>
  </si>
  <si>
    <t>0x4522</t>
  </si>
  <si>
    <t>FuelConsSinceOilChange</t>
  </si>
  <si>
    <t>0x4403</t>
  </si>
  <si>
    <t>L?</t>
  </si>
  <si>
    <t>FuelCorrection</t>
  </si>
  <si>
    <t>0x4a6c</t>
  </si>
  <si>
    <t>Row Labels</t>
  </si>
  <si>
    <t>Grand Total</t>
  </si>
  <si>
    <t>(Multiple Items)</t>
  </si>
  <si>
    <t>Average of proc_value</t>
  </si>
  <si>
    <t>PostProocessedVal</t>
  </si>
  <si>
    <t>Fuel cons start</t>
  </si>
  <si>
    <t>Fuel cons end</t>
  </si>
  <si>
    <t>Fuel cons trip</t>
  </si>
  <si>
    <t>Trip length (mi)</t>
  </si>
  <si>
    <t>Fuel cons trip (gal?)</t>
  </si>
  <si>
    <t xml:space="preserve">Fuel economy trip (mpg) </t>
  </si>
  <si>
    <t>PostProocessedUnt</t>
  </si>
  <si>
    <t>PSI</t>
  </si>
  <si>
    <t>timetag difference</t>
  </si>
  <si>
    <t>True boost pressure (PSI)</t>
  </si>
  <si>
    <t>Fuel rail pressure (PSI)</t>
  </si>
  <si>
    <t>True oil pressure (PSI)</t>
  </si>
  <si>
    <t>Engine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</si>
</sst>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[12-27-2025_DriveAround.xlsx]Pivot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chart'!$A$4:$A$150</c:f>
              <c:strCache>
                <c:ptCount val="146"/>
                <c:pt idx="0">
                  <c:v>38866</c:v>
                </c:pt>
                <c:pt idx="1">
                  <c:v>39460</c:v>
                </c:pt>
                <c:pt idx="2">
                  <c:v>45900</c:v>
                </c:pt>
                <c:pt idx="3">
                  <c:v>46494</c:v>
                </c:pt>
                <c:pt idx="4">
                  <c:v>52993</c:v>
                </c:pt>
                <c:pt idx="5">
                  <c:v>53597</c:v>
                </c:pt>
                <c:pt idx="6">
                  <c:v>59945</c:v>
                </c:pt>
                <c:pt idx="7">
                  <c:v>60529</c:v>
                </c:pt>
                <c:pt idx="8">
                  <c:v>67018</c:v>
                </c:pt>
                <c:pt idx="9">
                  <c:v>67622</c:v>
                </c:pt>
                <c:pt idx="10">
                  <c:v>74092</c:v>
                </c:pt>
                <c:pt idx="11">
                  <c:v>74697</c:v>
                </c:pt>
                <c:pt idx="12">
                  <c:v>81124</c:v>
                </c:pt>
                <c:pt idx="13">
                  <c:v>81728</c:v>
                </c:pt>
                <c:pt idx="14">
                  <c:v>88139</c:v>
                </c:pt>
                <c:pt idx="15">
                  <c:v>88723</c:v>
                </c:pt>
                <c:pt idx="16">
                  <c:v>95102</c:v>
                </c:pt>
                <c:pt idx="17">
                  <c:v>95696</c:v>
                </c:pt>
                <c:pt idx="18">
                  <c:v>102057</c:v>
                </c:pt>
                <c:pt idx="19">
                  <c:v>102651</c:v>
                </c:pt>
                <c:pt idx="20">
                  <c:v>109041</c:v>
                </c:pt>
                <c:pt idx="21">
                  <c:v>109635</c:v>
                </c:pt>
                <c:pt idx="22">
                  <c:v>116155</c:v>
                </c:pt>
                <c:pt idx="23">
                  <c:v>116759</c:v>
                </c:pt>
                <c:pt idx="24">
                  <c:v>123336</c:v>
                </c:pt>
                <c:pt idx="25">
                  <c:v>123930</c:v>
                </c:pt>
                <c:pt idx="26">
                  <c:v>130281</c:v>
                </c:pt>
                <c:pt idx="27">
                  <c:v>130865</c:v>
                </c:pt>
                <c:pt idx="28">
                  <c:v>137333</c:v>
                </c:pt>
                <c:pt idx="29">
                  <c:v>137986</c:v>
                </c:pt>
                <c:pt idx="30">
                  <c:v>144506</c:v>
                </c:pt>
                <c:pt idx="31">
                  <c:v>145091</c:v>
                </c:pt>
                <c:pt idx="32">
                  <c:v>151500</c:v>
                </c:pt>
                <c:pt idx="33">
                  <c:v>152104</c:v>
                </c:pt>
                <c:pt idx="34">
                  <c:v>158453</c:v>
                </c:pt>
                <c:pt idx="35">
                  <c:v>159047</c:v>
                </c:pt>
                <c:pt idx="36">
                  <c:v>165426</c:v>
                </c:pt>
                <c:pt idx="37">
                  <c:v>166010</c:v>
                </c:pt>
                <c:pt idx="38">
                  <c:v>172389</c:v>
                </c:pt>
                <c:pt idx="39">
                  <c:v>172983</c:v>
                </c:pt>
                <c:pt idx="40">
                  <c:v>179402</c:v>
                </c:pt>
                <c:pt idx="41">
                  <c:v>179996</c:v>
                </c:pt>
                <c:pt idx="42">
                  <c:v>186356</c:v>
                </c:pt>
                <c:pt idx="43">
                  <c:v>186940</c:v>
                </c:pt>
                <c:pt idx="44">
                  <c:v>193271</c:v>
                </c:pt>
                <c:pt idx="45">
                  <c:v>193865</c:v>
                </c:pt>
                <c:pt idx="46">
                  <c:v>200214</c:v>
                </c:pt>
                <c:pt idx="47">
                  <c:v>200808</c:v>
                </c:pt>
                <c:pt idx="48">
                  <c:v>207167</c:v>
                </c:pt>
                <c:pt idx="49">
                  <c:v>207751</c:v>
                </c:pt>
                <c:pt idx="50">
                  <c:v>214099</c:v>
                </c:pt>
                <c:pt idx="51">
                  <c:v>214694</c:v>
                </c:pt>
                <c:pt idx="52">
                  <c:v>221052</c:v>
                </c:pt>
                <c:pt idx="53">
                  <c:v>221646</c:v>
                </c:pt>
                <c:pt idx="54">
                  <c:v>227987</c:v>
                </c:pt>
                <c:pt idx="55">
                  <c:v>228582</c:v>
                </c:pt>
                <c:pt idx="56">
                  <c:v>234930</c:v>
                </c:pt>
                <c:pt idx="57">
                  <c:v>235514</c:v>
                </c:pt>
                <c:pt idx="58">
                  <c:v>241873</c:v>
                </c:pt>
                <c:pt idx="59">
                  <c:v>242467</c:v>
                </c:pt>
                <c:pt idx="60">
                  <c:v>248858</c:v>
                </c:pt>
                <c:pt idx="61">
                  <c:v>249442</c:v>
                </c:pt>
                <c:pt idx="62">
                  <c:v>255833</c:v>
                </c:pt>
                <c:pt idx="63">
                  <c:v>256427</c:v>
                </c:pt>
                <c:pt idx="64">
                  <c:v>262835</c:v>
                </c:pt>
                <c:pt idx="65">
                  <c:v>263428</c:v>
                </c:pt>
                <c:pt idx="66">
                  <c:v>269933</c:v>
                </c:pt>
                <c:pt idx="67">
                  <c:v>270517</c:v>
                </c:pt>
                <c:pt idx="68">
                  <c:v>276866</c:v>
                </c:pt>
                <c:pt idx="69">
                  <c:v>277450</c:v>
                </c:pt>
                <c:pt idx="70">
                  <c:v>283802</c:v>
                </c:pt>
                <c:pt idx="71">
                  <c:v>284396</c:v>
                </c:pt>
                <c:pt idx="72">
                  <c:v>290735</c:v>
                </c:pt>
                <c:pt idx="73">
                  <c:v>291329</c:v>
                </c:pt>
                <c:pt idx="74">
                  <c:v>297699</c:v>
                </c:pt>
                <c:pt idx="75">
                  <c:v>298303</c:v>
                </c:pt>
                <c:pt idx="76">
                  <c:v>304711</c:v>
                </c:pt>
                <c:pt idx="77">
                  <c:v>305305</c:v>
                </c:pt>
                <c:pt idx="78">
                  <c:v>311734</c:v>
                </c:pt>
                <c:pt idx="79">
                  <c:v>312349</c:v>
                </c:pt>
                <c:pt idx="80">
                  <c:v>318697</c:v>
                </c:pt>
                <c:pt idx="81">
                  <c:v>319291</c:v>
                </c:pt>
                <c:pt idx="82">
                  <c:v>325679</c:v>
                </c:pt>
                <c:pt idx="83">
                  <c:v>326273</c:v>
                </c:pt>
                <c:pt idx="84">
                  <c:v>332631</c:v>
                </c:pt>
                <c:pt idx="85">
                  <c:v>333225</c:v>
                </c:pt>
                <c:pt idx="86">
                  <c:v>339715</c:v>
                </c:pt>
                <c:pt idx="87">
                  <c:v>340318</c:v>
                </c:pt>
                <c:pt idx="88">
                  <c:v>346745</c:v>
                </c:pt>
                <c:pt idx="89">
                  <c:v>347339</c:v>
                </c:pt>
                <c:pt idx="90">
                  <c:v>353720</c:v>
                </c:pt>
                <c:pt idx="91">
                  <c:v>354314</c:v>
                </c:pt>
                <c:pt idx="92">
                  <c:v>360681</c:v>
                </c:pt>
                <c:pt idx="93">
                  <c:v>361275</c:v>
                </c:pt>
                <c:pt idx="94">
                  <c:v>367663</c:v>
                </c:pt>
                <c:pt idx="95">
                  <c:v>368267</c:v>
                </c:pt>
                <c:pt idx="96">
                  <c:v>374616</c:v>
                </c:pt>
                <c:pt idx="97">
                  <c:v>375210</c:v>
                </c:pt>
                <c:pt idx="98">
                  <c:v>381559</c:v>
                </c:pt>
                <c:pt idx="99">
                  <c:v>382153</c:v>
                </c:pt>
                <c:pt idx="100">
                  <c:v>388522</c:v>
                </c:pt>
                <c:pt idx="101">
                  <c:v>389106</c:v>
                </c:pt>
                <c:pt idx="102">
                  <c:v>395445</c:v>
                </c:pt>
                <c:pt idx="103">
                  <c:v>396039</c:v>
                </c:pt>
                <c:pt idx="104">
                  <c:v>402378</c:v>
                </c:pt>
                <c:pt idx="105">
                  <c:v>402962</c:v>
                </c:pt>
                <c:pt idx="106">
                  <c:v>409311</c:v>
                </c:pt>
                <c:pt idx="107">
                  <c:v>409895</c:v>
                </c:pt>
                <c:pt idx="108">
                  <c:v>416275</c:v>
                </c:pt>
                <c:pt idx="109">
                  <c:v>416869</c:v>
                </c:pt>
                <c:pt idx="110">
                  <c:v>423245</c:v>
                </c:pt>
                <c:pt idx="111">
                  <c:v>423849</c:v>
                </c:pt>
                <c:pt idx="112">
                  <c:v>430271</c:v>
                </c:pt>
                <c:pt idx="113">
                  <c:v>430855</c:v>
                </c:pt>
                <c:pt idx="114">
                  <c:v>437274</c:v>
                </c:pt>
                <c:pt idx="115">
                  <c:v>437878</c:v>
                </c:pt>
                <c:pt idx="116">
                  <c:v>444269</c:v>
                </c:pt>
                <c:pt idx="117">
                  <c:v>444863</c:v>
                </c:pt>
                <c:pt idx="118">
                  <c:v>451212</c:v>
                </c:pt>
                <c:pt idx="119">
                  <c:v>451806</c:v>
                </c:pt>
                <c:pt idx="120">
                  <c:v>458233</c:v>
                </c:pt>
                <c:pt idx="121">
                  <c:v>458837</c:v>
                </c:pt>
                <c:pt idx="122">
                  <c:v>465302</c:v>
                </c:pt>
                <c:pt idx="123">
                  <c:v>465897</c:v>
                </c:pt>
                <c:pt idx="124">
                  <c:v>472467</c:v>
                </c:pt>
                <c:pt idx="125">
                  <c:v>473051</c:v>
                </c:pt>
                <c:pt idx="126">
                  <c:v>479539</c:v>
                </c:pt>
                <c:pt idx="127">
                  <c:v>480133</c:v>
                </c:pt>
                <c:pt idx="128">
                  <c:v>486483</c:v>
                </c:pt>
                <c:pt idx="129">
                  <c:v>487068</c:v>
                </c:pt>
                <c:pt idx="130">
                  <c:v>493395</c:v>
                </c:pt>
                <c:pt idx="131">
                  <c:v>493979</c:v>
                </c:pt>
                <c:pt idx="132">
                  <c:v>500319</c:v>
                </c:pt>
                <c:pt idx="133">
                  <c:v>500913</c:v>
                </c:pt>
                <c:pt idx="134">
                  <c:v>507275</c:v>
                </c:pt>
                <c:pt idx="135">
                  <c:v>507869</c:v>
                </c:pt>
                <c:pt idx="136">
                  <c:v>514288</c:v>
                </c:pt>
                <c:pt idx="137">
                  <c:v>514882</c:v>
                </c:pt>
                <c:pt idx="138">
                  <c:v>521293</c:v>
                </c:pt>
                <c:pt idx="139">
                  <c:v>521877</c:v>
                </c:pt>
                <c:pt idx="140">
                  <c:v>528256</c:v>
                </c:pt>
                <c:pt idx="141">
                  <c:v>528850</c:v>
                </c:pt>
                <c:pt idx="142">
                  <c:v>535301</c:v>
                </c:pt>
                <c:pt idx="143">
                  <c:v>535885</c:v>
                </c:pt>
                <c:pt idx="144">
                  <c:v>542365</c:v>
                </c:pt>
                <c:pt idx="145">
                  <c:v>542949</c:v>
                </c:pt>
              </c:strCache>
            </c:strRef>
          </c:cat>
          <c:val>
            <c:numRef>
              <c:f>'Pivot chart'!$B$4:$B$150</c:f>
              <c:numCache>
                <c:formatCode>General</c:formatCode>
                <c:ptCount val="146"/>
                <c:pt idx="0">
                  <c:v>1011.8</c:v>
                </c:pt>
                <c:pt idx="1">
                  <c:v>1006.02</c:v>
                </c:pt>
                <c:pt idx="2">
                  <c:v>1011.8</c:v>
                </c:pt>
                <c:pt idx="3">
                  <c:v>1006.09</c:v>
                </c:pt>
                <c:pt idx="4">
                  <c:v>1011.8</c:v>
                </c:pt>
                <c:pt idx="5">
                  <c:v>1008.75</c:v>
                </c:pt>
                <c:pt idx="6">
                  <c:v>1011.8</c:v>
                </c:pt>
                <c:pt idx="7">
                  <c:v>1004.77</c:v>
                </c:pt>
                <c:pt idx="8">
                  <c:v>1011.8</c:v>
                </c:pt>
                <c:pt idx="9">
                  <c:v>1006.09</c:v>
                </c:pt>
                <c:pt idx="10">
                  <c:v>1011.8</c:v>
                </c:pt>
                <c:pt idx="11">
                  <c:v>1009.77</c:v>
                </c:pt>
                <c:pt idx="12">
                  <c:v>1011.8</c:v>
                </c:pt>
                <c:pt idx="13">
                  <c:v>1004.45</c:v>
                </c:pt>
                <c:pt idx="14">
                  <c:v>1011.8</c:v>
                </c:pt>
                <c:pt idx="15">
                  <c:v>1008.83</c:v>
                </c:pt>
                <c:pt idx="16">
                  <c:v>1011.8</c:v>
                </c:pt>
                <c:pt idx="17">
                  <c:v>1022.89</c:v>
                </c:pt>
                <c:pt idx="18">
                  <c:v>1011.8</c:v>
                </c:pt>
                <c:pt idx="19">
                  <c:v>1014.45</c:v>
                </c:pt>
                <c:pt idx="20">
                  <c:v>1011.8</c:v>
                </c:pt>
                <c:pt idx="21">
                  <c:v>1035.78</c:v>
                </c:pt>
                <c:pt idx="22">
                  <c:v>1011.8</c:v>
                </c:pt>
                <c:pt idx="23">
                  <c:v>1018.36</c:v>
                </c:pt>
                <c:pt idx="24">
                  <c:v>1011.8</c:v>
                </c:pt>
                <c:pt idx="25">
                  <c:v>1036.72</c:v>
                </c:pt>
                <c:pt idx="26">
                  <c:v>1011.8</c:v>
                </c:pt>
                <c:pt idx="27">
                  <c:v>1010</c:v>
                </c:pt>
                <c:pt idx="28">
                  <c:v>1011.8</c:v>
                </c:pt>
                <c:pt idx="29">
                  <c:v>1017.89</c:v>
                </c:pt>
                <c:pt idx="30">
                  <c:v>1011.8</c:v>
                </c:pt>
                <c:pt idx="31">
                  <c:v>1025.7</c:v>
                </c:pt>
                <c:pt idx="32">
                  <c:v>1011.8</c:v>
                </c:pt>
                <c:pt idx="33">
                  <c:v>1049.06</c:v>
                </c:pt>
                <c:pt idx="34">
                  <c:v>1011.8</c:v>
                </c:pt>
                <c:pt idx="35">
                  <c:v>1057.6600000000001</c:v>
                </c:pt>
                <c:pt idx="36">
                  <c:v>1011.8</c:v>
                </c:pt>
                <c:pt idx="37">
                  <c:v>1014.69</c:v>
                </c:pt>
                <c:pt idx="38">
                  <c:v>1011.8</c:v>
                </c:pt>
                <c:pt idx="39">
                  <c:v>1010.23</c:v>
                </c:pt>
                <c:pt idx="40">
                  <c:v>1011.8</c:v>
                </c:pt>
                <c:pt idx="41">
                  <c:v>1028.52</c:v>
                </c:pt>
                <c:pt idx="42">
                  <c:v>1011.8</c:v>
                </c:pt>
                <c:pt idx="43">
                  <c:v>1022.27</c:v>
                </c:pt>
                <c:pt idx="44">
                  <c:v>1013.05</c:v>
                </c:pt>
                <c:pt idx="45">
                  <c:v>1038.3599999999999</c:v>
                </c:pt>
                <c:pt idx="46">
                  <c:v>1014.26</c:v>
                </c:pt>
                <c:pt idx="47">
                  <c:v>1048.52</c:v>
                </c:pt>
                <c:pt idx="48">
                  <c:v>1015.51</c:v>
                </c:pt>
                <c:pt idx="49">
                  <c:v>1045.7</c:v>
                </c:pt>
                <c:pt idx="50">
                  <c:v>1016.76</c:v>
                </c:pt>
                <c:pt idx="51">
                  <c:v>1031.56</c:v>
                </c:pt>
                <c:pt idx="52">
                  <c:v>1016.76</c:v>
                </c:pt>
                <c:pt idx="53">
                  <c:v>1014.45</c:v>
                </c:pt>
                <c:pt idx="54">
                  <c:v>1016.76</c:v>
                </c:pt>
                <c:pt idx="55">
                  <c:v>1011.48</c:v>
                </c:pt>
                <c:pt idx="56">
                  <c:v>1016.76</c:v>
                </c:pt>
                <c:pt idx="57">
                  <c:v>1012.5</c:v>
                </c:pt>
                <c:pt idx="58">
                  <c:v>1017.97</c:v>
                </c:pt>
                <c:pt idx="59">
                  <c:v>1022.89</c:v>
                </c:pt>
                <c:pt idx="60">
                  <c:v>1017.97</c:v>
                </c:pt>
                <c:pt idx="61">
                  <c:v>1034.06</c:v>
                </c:pt>
                <c:pt idx="62">
                  <c:v>1019.22</c:v>
                </c:pt>
                <c:pt idx="63">
                  <c:v>1034.06</c:v>
                </c:pt>
                <c:pt idx="64">
                  <c:v>1019.22</c:v>
                </c:pt>
                <c:pt idx="65">
                  <c:v>1050.94</c:v>
                </c:pt>
                <c:pt idx="66">
                  <c:v>1019.22</c:v>
                </c:pt>
                <c:pt idx="67">
                  <c:v>1043.5899999999999</c:v>
                </c:pt>
                <c:pt idx="68">
                  <c:v>1019.22</c:v>
                </c:pt>
                <c:pt idx="69">
                  <c:v>1033.52</c:v>
                </c:pt>
                <c:pt idx="70">
                  <c:v>1019.22</c:v>
                </c:pt>
                <c:pt idx="71">
                  <c:v>1031.25</c:v>
                </c:pt>
                <c:pt idx="72">
                  <c:v>1019.22</c:v>
                </c:pt>
                <c:pt idx="73">
                  <c:v>4.0599999999999996</c:v>
                </c:pt>
                <c:pt idx="74">
                  <c:v>1019.22</c:v>
                </c:pt>
                <c:pt idx="75">
                  <c:v>1062.19</c:v>
                </c:pt>
                <c:pt idx="76">
                  <c:v>1020.47</c:v>
                </c:pt>
                <c:pt idx="77">
                  <c:v>1042.5</c:v>
                </c:pt>
                <c:pt idx="78">
                  <c:v>1020.47</c:v>
                </c:pt>
                <c:pt idx="79">
                  <c:v>1028.52</c:v>
                </c:pt>
                <c:pt idx="80">
                  <c:v>1020.47</c:v>
                </c:pt>
                <c:pt idx="81">
                  <c:v>1070</c:v>
                </c:pt>
                <c:pt idx="82">
                  <c:v>1020.47</c:v>
                </c:pt>
                <c:pt idx="83">
                  <c:v>1076.17</c:v>
                </c:pt>
                <c:pt idx="84">
                  <c:v>1019.22</c:v>
                </c:pt>
                <c:pt idx="85">
                  <c:v>1055</c:v>
                </c:pt>
                <c:pt idx="86">
                  <c:v>1020.47</c:v>
                </c:pt>
                <c:pt idx="87">
                  <c:v>1305</c:v>
                </c:pt>
                <c:pt idx="88">
                  <c:v>1020.47</c:v>
                </c:pt>
                <c:pt idx="89">
                  <c:v>1070.6199999999999</c:v>
                </c:pt>
                <c:pt idx="90">
                  <c:v>1019.22</c:v>
                </c:pt>
                <c:pt idx="91">
                  <c:v>1039.69</c:v>
                </c:pt>
                <c:pt idx="92">
                  <c:v>1019.22</c:v>
                </c:pt>
                <c:pt idx="93">
                  <c:v>1059.92</c:v>
                </c:pt>
                <c:pt idx="94">
                  <c:v>1017.97</c:v>
                </c:pt>
                <c:pt idx="95">
                  <c:v>1053.75</c:v>
                </c:pt>
                <c:pt idx="96">
                  <c:v>1016.76</c:v>
                </c:pt>
                <c:pt idx="97">
                  <c:v>1046.0899999999999</c:v>
                </c:pt>
                <c:pt idx="98">
                  <c:v>1015.51</c:v>
                </c:pt>
                <c:pt idx="99">
                  <c:v>1816.33</c:v>
                </c:pt>
                <c:pt idx="100">
                  <c:v>1014.26</c:v>
                </c:pt>
                <c:pt idx="101">
                  <c:v>1083.67</c:v>
                </c:pt>
                <c:pt idx="102">
                  <c:v>1013.05</c:v>
                </c:pt>
                <c:pt idx="103">
                  <c:v>1035</c:v>
                </c:pt>
                <c:pt idx="104">
                  <c:v>1011.8</c:v>
                </c:pt>
                <c:pt idx="105">
                  <c:v>1025.7</c:v>
                </c:pt>
                <c:pt idx="106">
                  <c:v>1011.8</c:v>
                </c:pt>
                <c:pt idx="107">
                  <c:v>1011.64</c:v>
                </c:pt>
                <c:pt idx="108">
                  <c:v>1011.8</c:v>
                </c:pt>
                <c:pt idx="109">
                  <c:v>1034.06</c:v>
                </c:pt>
                <c:pt idx="110">
                  <c:v>1011.8</c:v>
                </c:pt>
                <c:pt idx="111">
                  <c:v>1022.89</c:v>
                </c:pt>
                <c:pt idx="112">
                  <c:v>1011.8</c:v>
                </c:pt>
                <c:pt idx="113">
                  <c:v>1021.02</c:v>
                </c:pt>
                <c:pt idx="114">
                  <c:v>1011.8</c:v>
                </c:pt>
                <c:pt idx="115">
                  <c:v>1047.27</c:v>
                </c:pt>
                <c:pt idx="116">
                  <c:v>1011.8</c:v>
                </c:pt>
                <c:pt idx="117">
                  <c:v>1031.56</c:v>
                </c:pt>
                <c:pt idx="118">
                  <c:v>1011.8</c:v>
                </c:pt>
                <c:pt idx="119">
                  <c:v>1017.42</c:v>
                </c:pt>
                <c:pt idx="120">
                  <c:v>1011.8</c:v>
                </c:pt>
                <c:pt idx="121">
                  <c:v>1028.52</c:v>
                </c:pt>
                <c:pt idx="122">
                  <c:v>1011.8</c:v>
                </c:pt>
                <c:pt idx="123">
                  <c:v>1017.97</c:v>
                </c:pt>
                <c:pt idx="124">
                  <c:v>1011.8</c:v>
                </c:pt>
                <c:pt idx="125">
                  <c:v>1022.27</c:v>
                </c:pt>
                <c:pt idx="126">
                  <c:v>1011.8</c:v>
                </c:pt>
                <c:pt idx="127">
                  <c:v>1017.5</c:v>
                </c:pt>
                <c:pt idx="128">
                  <c:v>1011.8</c:v>
                </c:pt>
                <c:pt idx="129">
                  <c:v>1010.08</c:v>
                </c:pt>
                <c:pt idx="130">
                  <c:v>1011.8</c:v>
                </c:pt>
                <c:pt idx="131">
                  <c:v>1019.84</c:v>
                </c:pt>
                <c:pt idx="132">
                  <c:v>1011.8</c:v>
                </c:pt>
                <c:pt idx="133">
                  <c:v>1022.89</c:v>
                </c:pt>
                <c:pt idx="134">
                  <c:v>1011.8</c:v>
                </c:pt>
                <c:pt idx="135">
                  <c:v>1011.64</c:v>
                </c:pt>
                <c:pt idx="136">
                  <c:v>1011.8</c:v>
                </c:pt>
                <c:pt idx="137">
                  <c:v>1011.64</c:v>
                </c:pt>
                <c:pt idx="138">
                  <c:v>1011.8</c:v>
                </c:pt>
                <c:pt idx="139">
                  <c:v>999.3</c:v>
                </c:pt>
                <c:pt idx="140">
                  <c:v>1011.8</c:v>
                </c:pt>
                <c:pt idx="141">
                  <c:v>1007.89</c:v>
                </c:pt>
                <c:pt idx="142">
                  <c:v>1011.8</c:v>
                </c:pt>
                <c:pt idx="143">
                  <c:v>1005.62</c:v>
                </c:pt>
                <c:pt idx="144">
                  <c:v>1011.8</c:v>
                </c:pt>
                <c:pt idx="145">
                  <c:v>1005.55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0-764A-BB3A-7A5852F61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715711"/>
        <c:axId val="1945155151"/>
      </c:barChart>
      <c:catAx>
        <c:axId val="193971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155151"/>
        <c:crosses val="autoZero"/>
        <c:auto val="1"/>
        <c:lblAlgn val="ctr"/>
        <c:lblOffset val="100"/>
        <c:noMultiLvlLbl val="0"/>
      </c:catAx>
      <c:valAx>
        <c:axId val="194515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71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'Boost, oil pressure'!$J$1</c:f>
              <c:strCache>
                <c:ptCount val="1"/>
                <c:pt idx="0">
                  <c:v>True boost pressure (PSI)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'Boost, oil pressure'!$E$2:$E$74</c:f>
              <c:numCache>
                <c:formatCode>General</c:formatCode>
                <c:ptCount val="73"/>
                <c:pt idx="0">
                  <c:v>39460</c:v>
                </c:pt>
                <c:pt idx="1">
                  <c:v>46494</c:v>
                </c:pt>
                <c:pt idx="2">
                  <c:v>53597</c:v>
                </c:pt>
                <c:pt idx="3">
                  <c:v>60529</c:v>
                </c:pt>
                <c:pt idx="4">
                  <c:v>67622</c:v>
                </c:pt>
                <c:pt idx="5">
                  <c:v>74697</c:v>
                </c:pt>
                <c:pt idx="6">
                  <c:v>81728</c:v>
                </c:pt>
                <c:pt idx="7">
                  <c:v>88723</c:v>
                </c:pt>
                <c:pt idx="8">
                  <c:v>95696</c:v>
                </c:pt>
                <c:pt idx="9">
                  <c:v>102651</c:v>
                </c:pt>
                <c:pt idx="10">
                  <c:v>109635</c:v>
                </c:pt>
                <c:pt idx="11">
                  <c:v>116759</c:v>
                </c:pt>
                <c:pt idx="12">
                  <c:v>123930</c:v>
                </c:pt>
                <c:pt idx="13">
                  <c:v>130865</c:v>
                </c:pt>
                <c:pt idx="14">
                  <c:v>137986</c:v>
                </c:pt>
                <c:pt idx="15">
                  <c:v>145091</c:v>
                </c:pt>
                <c:pt idx="16">
                  <c:v>152104</c:v>
                </c:pt>
                <c:pt idx="17">
                  <c:v>159047</c:v>
                </c:pt>
                <c:pt idx="18">
                  <c:v>166010</c:v>
                </c:pt>
                <c:pt idx="19">
                  <c:v>172983</c:v>
                </c:pt>
                <c:pt idx="20">
                  <c:v>179996</c:v>
                </c:pt>
                <c:pt idx="21">
                  <c:v>186940</c:v>
                </c:pt>
                <c:pt idx="22">
                  <c:v>193865</c:v>
                </c:pt>
                <c:pt idx="23">
                  <c:v>200808</c:v>
                </c:pt>
                <c:pt idx="24">
                  <c:v>207751</c:v>
                </c:pt>
                <c:pt idx="25">
                  <c:v>214694</c:v>
                </c:pt>
                <c:pt idx="26">
                  <c:v>221646</c:v>
                </c:pt>
                <c:pt idx="27">
                  <c:v>228582</c:v>
                </c:pt>
                <c:pt idx="28">
                  <c:v>235514</c:v>
                </c:pt>
                <c:pt idx="29">
                  <c:v>242467</c:v>
                </c:pt>
                <c:pt idx="30">
                  <c:v>249442</c:v>
                </c:pt>
                <c:pt idx="31">
                  <c:v>256427</c:v>
                </c:pt>
                <c:pt idx="32">
                  <c:v>263428</c:v>
                </c:pt>
                <c:pt idx="33">
                  <c:v>270517</c:v>
                </c:pt>
                <c:pt idx="34">
                  <c:v>277450</c:v>
                </c:pt>
                <c:pt idx="35">
                  <c:v>284396</c:v>
                </c:pt>
                <c:pt idx="36">
                  <c:v>291329</c:v>
                </c:pt>
                <c:pt idx="37">
                  <c:v>298303</c:v>
                </c:pt>
                <c:pt idx="38">
                  <c:v>305305</c:v>
                </c:pt>
                <c:pt idx="39">
                  <c:v>312349</c:v>
                </c:pt>
                <c:pt idx="40">
                  <c:v>319291</c:v>
                </c:pt>
                <c:pt idx="41">
                  <c:v>326273</c:v>
                </c:pt>
                <c:pt idx="42">
                  <c:v>333225</c:v>
                </c:pt>
                <c:pt idx="43">
                  <c:v>340318</c:v>
                </c:pt>
                <c:pt idx="44">
                  <c:v>347339</c:v>
                </c:pt>
                <c:pt idx="45">
                  <c:v>354314</c:v>
                </c:pt>
                <c:pt idx="46">
                  <c:v>361275</c:v>
                </c:pt>
                <c:pt idx="47">
                  <c:v>368267</c:v>
                </c:pt>
                <c:pt idx="48">
                  <c:v>375210</c:v>
                </c:pt>
                <c:pt idx="49">
                  <c:v>382153</c:v>
                </c:pt>
                <c:pt idx="50">
                  <c:v>389106</c:v>
                </c:pt>
                <c:pt idx="51">
                  <c:v>396039</c:v>
                </c:pt>
                <c:pt idx="52">
                  <c:v>402962</c:v>
                </c:pt>
                <c:pt idx="53">
                  <c:v>409895</c:v>
                </c:pt>
                <c:pt idx="54">
                  <c:v>416869</c:v>
                </c:pt>
                <c:pt idx="55">
                  <c:v>423849</c:v>
                </c:pt>
                <c:pt idx="56">
                  <c:v>430855</c:v>
                </c:pt>
                <c:pt idx="57">
                  <c:v>437878</c:v>
                </c:pt>
                <c:pt idx="58">
                  <c:v>444863</c:v>
                </c:pt>
                <c:pt idx="59">
                  <c:v>451806</c:v>
                </c:pt>
                <c:pt idx="60">
                  <c:v>458837</c:v>
                </c:pt>
                <c:pt idx="61">
                  <c:v>465897</c:v>
                </c:pt>
                <c:pt idx="62">
                  <c:v>473051</c:v>
                </c:pt>
                <c:pt idx="63">
                  <c:v>480133</c:v>
                </c:pt>
                <c:pt idx="64">
                  <c:v>487068</c:v>
                </c:pt>
                <c:pt idx="65">
                  <c:v>493979</c:v>
                </c:pt>
                <c:pt idx="66">
                  <c:v>500913</c:v>
                </c:pt>
                <c:pt idx="67">
                  <c:v>507869</c:v>
                </c:pt>
                <c:pt idx="68">
                  <c:v>514882</c:v>
                </c:pt>
                <c:pt idx="69">
                  <c:v>521877</c:v>
                </c:pt>
                <c:pt idx="70">
                  <c:v>528850</c:v>
                </c:pt>
                <c:pt idx="71">
                  <c:v>535885</c:v>
                </c:pt>
                <c:pt idx="72">
                  <c:v>542949</c:v>
                </c:pt>
              </c:numCache>
            </c:numRef>
          </c:xVal>
          <c:yVal>
            <c:numRef>
              <c:f>'Boost, oil pressure'!$J$2:$J$74</c:f>
              <c:numCache>
                <c:formatCode>General</c:formatCode>
                <c:ptCount val="73"/>
                <c:pt idx="0">
                  <c:v>-8.3831812408060813E-2</c:v>
                </c:pt>
                <c:pt idx="1">
                  <c:v>-8.2816548243949129E-2</c:v>
                </c:pt>
                <c:pt idx="2">
                  <c:v>-4.4236510007714003E-2</c:v>
                </c:pt>
                <c:pt idx="3">
                  <c:v>-0.10196152962433658</c:v>
                </c:pt>
                <c:pt idx="4">
                  <c:v>-8.2816548243949129E-2</c:v>
                </c:pt>
                <c:pt idx="5">
                  <c:v>-2.9442660759231742E-2</c:v>
                </c:pt>
                <c:pt idx="6">
                  <c:v>-0.10660273723170377</c:v>
                </c:pt>
                <c:pt idx="7">
                  <c:v>-4.3076208105871316E-2</c:v>
                </c:pt>
                <c:pt idx="8">
                  <c:v>0.16084685114280184</c:v>
                </c:pt>
                <c:pt idx="9">
                  <c:v>3.84350004985059E-2</c:v>
                </c:pt>
                <c:pt idx="10">
                  <c:v>0.34780049507704192</c:v>
                </c:pt>
                <c:pt idx="11">
                  <c:v>9.5144755951018567E-2</c:v>
                </c:pt>
                <c:pt idx="12">
                  <c:v>0.36143404242368149</c:v>
                </c:pt>
                <c:pt idx="13">
                  <c:v>-2.6106792791436462E-2</c:v>
                </c:pt>
                <c:pt idx="14">
                  <c:v>8.832798227769878E-2</c:v>
                </c:pt>
                <c:pt idx="15">
                  <c:v>0.20160245544499134</c:v>
                </c:pt>
                <c:pt idx="16">
                  <c:v>0.54041061078276087</c:v>
                </c:pt>
                <c:pt idx="17">
                  <c:v>0.66514306523074218</c:v>
                </c:pt>
                <c:pt idx="18">
                  <c:v>4.1915906204030406E-2</c:v>
                </c:pt>
                <c:pt idx="19">
                  <c:v>-2.2770924823642957E-2</c:v>
                </c:pt>
                <c:pt idx="20">
                  <c:v>0.24250309748491006</c:v>
                </c:pt>
                <c:pt idx="21">
                  <c:v>0.15185451140352946</c:v>
                </c:pt>
                <c:pt idx="22">
                  <c:v>0.36709051419515681</c:v>
                </c:pt>
                <c:pt idx="23">
                  <c:v>0.49689928946369655</c:v>
                </c:pt>
                <c:pt idx="24">
                  <c:v>0.43786893020750206</c:v>
                </c:pt>
                <c:pt idx="25">
                  <c:v>0.21465585184071045</c:v>
                </c:pt>
                <c:pt idx="26">
                  <c:v>-3.350371741567848E-2</c:v>
                </c:pt>
                <c:pt idx="27">
                  <c:v>-7.6579925521549796E-2</c:v>
                </c:pt>
                <c:pt idx="28">
                  <c:v>-6.1786076273069312E-2</c:v>
                </c:pt>
                <c:pt idx="29">
                  <c:v>7.1358566963262149E-2</c:v>
                </c:pt>
                <c:pt idx="30">
                  <c:v>0.23336572000790667</c:v>
                </c:pt>
                <c:pt idx="31">
                  <c:v>0.21523600279163091</c:v>
                </c:pt>
                <c:pt idx="32">
                  <c:v>0.46005970408022456</c:v>
                </c:pt>
                <c:pt idx="33">
                  <c:v>0.35345696684851902</c:v>
                </c:pt>
                <c:pt idx="34">
                  <c:v>0.20740396495419944</c:v>
                </c:pt>
                <c:pt idx="35">
                  <c:v>0.17448039848944141</c:v>
                </c:pt>
                <c:pt idx="36">
                  <c:v>-14.723650983419917</c:v>
                </c:pt>
                <c:pt idx="37">
                  <c:v>0.62322715902671</c:v>
                </c:pt>
                <c:pt idx="38">
                  <c:v>0.31951813621965108</c:v>
                </c:pt>
                <c:pt idx="39">
                  <c:v>0.11675537887281884</c:v>
                </c:pt>
                <c:pt idx="40">
                  <c:v>0.71837191497772679</c:v>
                </c:pt>
                <c:pt idx="41">
                  <c:v>0.80786019915726648</c:v>
                </c:pt>
                <c:pt idx="42">
                  <c:v>0.51894502559868982</c:v>
                </c:pt>
                <c:pt idx="43">
                  <c:v>4.1267587516376452</c:v>
                </c:pt>
                <c:pt idx="44">
                  <c:v>0.72736425471699739</c:v>
                </c:pt>
                <c:pt idx="45">
                  <c:v>0.29689224913373913</c:v>
                </c:pt>
                <c:pt idx="46">
                  <c:v>0.59030359256195197</c:v>
                </c:pt>
                <c:pt idx="47">
                  <c:v>0.51894502559868805</c:v>
                </c:pt>
                <c:pt idx="48">
                  <c:v>0.42539568476270162</c:v>
                </c:pt>
                <c:pt idx="49">
                  <c:v>11.614912112910613</c:v>
                </c:pt>
                <c:pt idx="50">
                  <c:v>1.0067069375853812</c:v>
                </c:pt>
                <c:pt idx="51">
                  <c:v>0.3183578343178084</c:v>
                </c:pt>
                <c:pt idx="52">
                  <c:v>0.20160245544499134</c:v>
                </c:pt>
                <c:pt idx="53">
                  <c:v>-2.32060380368182E-3</c:v>
                </c:pt>
                <c:pt idx="54">
                  <c:v>0.32285400418744636</c:v>
                </c:pt>
                <c:pt idx="55">
                  <c:v>0.16084685114280184</c:v>
                </c:pt>
                <c:pt idx="56">
                  <c:v>0.13372479418725369</c:v>
                </c:pt>
                <c:pt idx="57">
                  <c:v>0.51444885572905186</c:v>
                </c:pt>
                <c:pt idx="58">
                  <c:v>0.28659456975489483</c:v>
                </c:pt>
                <c:pt idx="59">
                  <c:v>8.1511208604378993E-2</c:v>
                </c:pt>
                <c:pt idx="60">
                  <c:v>0.24250309748491006</c:v>
                </c:pt>
                <c:pt idx="61">
                  <c:v>8.948828417953969E-2</c:v>
                </c:pt>
                <c:pt idx="62">
                  <c:v>0.15185451140352946</c:v>
                </c:pt>
                <c:pt idx="63">
                  <c:v>8.2671510506219903E-2</c:v>
                </c:pt>
                <c:pt idx="64">
                  <c:v>-2.4946490889595552E-2</c:v>
                </c:pt>
                <c:pt idx="65">
                  <c:v>0.11661034113508961</c:v>
                </c:pt>
                <c:pt idx="66">
                  <c:v>0.16084685114280184</c:v>
                </c:pt>
                <c:pt idx="67">
                  <c:v>-2.32060380368182E-3</c:v>
                </c:pt>
                <c:pt idx="68">
                  <c:v>-2.32060380368182E-3</c:v>
                </c:pt>
                <c:pt idx="69">
                  <c:v>-0.1812971721627612</c:v>
                </c:pt>
                <c:pt idx="70">
                  <c:v>-5.670975545251089E-2</c:v>
                </c:pt>
                <c:pt idx="71">
                  <c:v>-8.9633321917268916E-2</c:v>
                </c:pt>
                <c:pt idx="72">
                  <c:v>-9.06485860813806E-2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7-0D42-909A-D8D3E1A28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429695"/>
        <c:axId val="1939353807"/>
      </c:scatterChart>
      <c:valAx>
        <c:axId val="182342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353807"/>
        <c:crosses val="autoZero"/>
        <c:crossBetween val="midCat"/>
      </c:valAx>
      <c:valAx>
        <c:axId val="193935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42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'Boost, oil pressure'!$P$1</c:f>
              <c:strCache>
                <c:ptCount val="1"/>
                <c:pt idx="0">
                  <c:v>True oil pressure (PSI)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'Boost, oil pressure'!$L$2:$L$74</c:f>
              <c:numCache>
                <c:formatCode>General</c:formatCode>
                <c:ptCount val="73"/>
                <c:pt idx="0">
                  <c:v>40309</c:v>
                </c:pt>
                <c:pt idx="1">
                  <c:v>47343</c:v>
                </c:pt>
                <c:pt idx="2">
                  <c:v>54425</c:v>
                </c:pt>
                <c:pt idx="3">
                  <c:v>61357</c:v>
                </c:pt>
                <c:pt idx="4">
                  <c:v>68470</c:v>
                </c:pt>
                <c:pt idx="5">
                  <c:v>75565</c:v>
                </c:pt>
                <c:pt idx="6">
                  <c:v>82557</c:v>
                </c:pt>
                <c:pt idx="7">
                  <c:v>89551</c:v>
                </c:pt>
                <c:pt idx="8">
                  <c:v>96524</c:v>
                </c:pt>
                <c:pt idx="9">
                  <c:v>103479</c:v>
                </c:pt>
                <c:pt idx="10">
                  <c:v>110492</c:v>
                </c:pt>
                <c:pt idx="11">
                  <c:v>117598</c:v>
                </c:pt>
                <c:pt idx="12">
                  <c:v>124758</c:v>
                </c:pt>
                <c:pt idx="13">
                  <c:v>131693</c:v>
                </c:pt>
                <c:pt idx="14">
                  <c:v>138834</c:v>
                </c:pt>
                <c:pt idx="15">
                  <c:v>145919</c:v>
                </c:pt>
                <c:pt idx="16">
                  <c:v>152912</c:v>
                </c:pt>
                <c:pt idx="17">
                  <c:v>159875</c:v>
                </c:pt>
                <c:pt idx="18">
                  <c:v>166839</c:v>
                </c:pt>
                <c:pt idx="19">
                  <c:v>173822</c:v>
                </c:pt>
                <c:pt idx="20">
                  <c:v>180835</c:v>
                </c:pt>
                <c:pt idx="21">
                  <c:v>187760</c:v>
                </c:pt>
                <c:pt idx="22">
                  <c:v>194673</c:v>
                </c:pt>
                <c:pt idx="23">
                  <c:v>201636</c:v>
                </c:pt>
                <c:pt idx="24">
                  <c:v>208579</c:v>
                </c:pt>
                <c:pt idx="25">
                  <c:v>215522</c:v>
                </c:pt>
                <c:pt idx="26">
                  <c:v>222484</c:v>
                </c:pt>
                <c:pt idx="27">
                  <c:v>229400</c:v>
                </c:pt>
                <c:pt idx="28">
                  <c:v>236343</c:v>
                </c:pt>
                <c:pt idx="29">
                  <c:v>243316</c:v>
                </c:pt>
                <c:pt idx="30">
                  <c:v>250291</c:v>
                </c:pt>
                <c:pt idx="31">
                  <c:v>257255</c:v>
                </c:pt>
                <c:pt idx="32">
                  <c:v>264285</c:v>
                </c:pt>
                <c:pt idx="33">
                  <c:v>271345</c:v>
                </c:pt>
                <c:pt idx="34">
                  <c:v>278279</c:v>
                </c:pt>
                <c:pt idx="35">
                  <c:v>285225</c:v>
                </c:pt>
                <c:pt idx="36">
                  <c:v>292177</c:v>
                </c:pt>
                <c:pt idx="37">
                  <c:v>299151</c:v>
                </c:pt>
                <c:pt idx="38">
                  <c:v>306144</c:v>
                </c:pt>
                <c:pt idx="39">
                  <c:v>313167</c:v>
                </c:pt>
                <c:pt idx="40">
                  <c:v>320128</c:v>
                </c:pt>
                <c:pt idx="41">
                  <c:v>327091</c:v>
                </c:pt>
                <c:pt idx="42">
                  <c:v>334043</c:v>
                </c:pt>
                <c:pt idx="43">
                  <c:v>341165</c:v>
                </c:pt>
                <c:pt idx="44">
                  <c:v>348159</c:v>
                </c:pt>
                <c:pt idx="45">
                  <c:v>355142</c:v>
                </c:pt>
                <c:pt idx="46">
                  <c:v>362103</c:v>
                </c:pt>
                <c:pt idx="47">
                  <c:v>369096</c:v>
                </c:pt>
                <c:pt idx="48">
                  <c:v>376028</c:v>
                </c:pt>
                <c:pt idx="49">
                  <c:v>382981</c:v>
                </c:pt>
                <c:pt idx="50">
                  <c:v>389934</c:v>
                </c:pt>
                <c:pt idx="51">
                  <c:v>396857</c:v>
                </c:pt>
                <c:pt idx="52">
                  <c:v>403780</c:v>
                </c:pt>
                <c:pt idx="53">
                  <c:v>410724</c:v>
                </c:pt>
                <c:pt idx="54">
                  <c:v>417697</c:v>
                </c:pt>
                <c:pt idx="55">
                  <c:v>424678</c:v>
                </c:pt>
                <c:pt idx="56">
                  <c:v>431683</c:v>
                </c:pt>
                <c:pt idx="57">
                  <c:v>438717</c:v>
                </c:pt>
                <c:pt idx="58">
                  <c:v>445681</c:v>
                </c:pt>
                <c:pt idx="59">
                  <c:v>452664</c:v>
                </c:pt>
                <c:pt idx="60">
                  <c:v>459675</c:v>
                </c:pt>
                <c:pt idx="61">
                  <c:v>466727</c:v>
                </c:pt>
                <c:pt idx="62">
                  <c:v>473888</c:v>
                </c:pt>
                <c:pt idx="63">
                  <c:v>480964</c:v>
                </c:pt>
                <c:pt idx="64">
                  <c:v>487906</c:v>
                </c:pt>
                <c:pt idx="65">
                  <c:v>494808</c:v>
                </c:pt>
                <c:pt idx="66">
                  <c:v>501732</c:v>
                </c:pt>
                <c:pt idx="67">
                  <c:v>508697</c:v>
                </c:pt>
                <c:pt idx="68">
                  <c:v>515740</c:v>
                </c:pt>
                <c:pt idx="69">
                  <c:v>522705</c:v>
                </c:pt>
                <c:pt idx="70">
                  <c:v>529669</c:v>
                </c:pt>
                <c:pt idx="71">
                  <c:v>536755</c:v>
                </c:pt>
                <c:pt idx="72">
                  <c:v>547376</c:v>
                </c:pt>
              </c:numCache>
            </c:numRef>
          </c:xVal>
          <c:yVal>
            <c:numRef>
              <c:f>'Boost, oil pressure'!$P$2:$P$74</c:f>
              <c:numCache>
                <c:formatCode>General</c:formatCode>
                <c:ptCount val="73"/>
                <c:pt idx="0">
                  <c:v>28.328770933464462</c:v>
                </c:pt>
                <c:pt idx="1">
                  <c:v>23.731074647416833</c:v>
                </c:pt>
                <c:pt idx="2">
                  <c:v>24.470767109840899</c:v>
                </c:pt>
                <c:pt idx="3">
                  <c:v>26.965416198800497</c:v>
                </c:pt>
                <c:pt idx="4">
                  <c:v>25.137940703399856</c:v>
                </c:pt>
                <c:pt idx="5">
                  <c:v>25.660076559228614</c:v>
                </c:pt>
                <c:pt idx="6">
                  <c:v>25.97915958223507</c:v>
                </c:pt>
                <c:pt idx="7">
                  <c:v>31.795172865216465</c:v>
                </c:pt>
                <c:pt idx="8">
                  <c:v>38.408893705714</c:v>
                </c:pt>
                <c:pt idx="9">
                  <c:v>28.270755838372381</c:v>
                </c:pt>
                <c:pt idx="10">
                  <c:v>27.516559602175292</c:v>
                </c:pt>
                <c:pt idx="11">
                  <c:v>29.837163405858639</c:v>
                </c:pt>
                <c:pt idx="12">
                  <c:v>26.501295438063828</c:v>
                </c:pt>
                <c:pt idx="13">
                  <c:v>27.690604887451542</c:v>
                </c:pt>
                <c:pt idx="14">
                  <c:v>-14.500873018266317</c:v>
                </c:pt>
                <c:pt idx="15">
                  <c:v>27.139461484076747</c:v>
                </c:pt>
                <c:pt idx="16">
                  <c:v>29.329531323802904</c:v>
                </c:pt>
                <c:pt idx="17">
                  <c:v>31.200518140522604</c:v>
                </c:pt>
                <c:pt idx="18">
                  <c:v>25.123436929626841</c:v>
                </c:pt>
                <c:pt idx="19">
                  <c:v>22.599780293121199</c:v>
                </c:pt>
                <c:pt idx="20">
                  <c:v>28.401289802329565</c:v>
                </c:pt>
                <c:pt idx="21">
                  <c:v>27.647093566132476</c:v>
                </c:pt>
                <c:pt idx="22">
                  <c:v>27.237361957044641</c:v>
                </c:pt>
                <c:pt idx="23">
                  <c:v>28.699197315627419</c:v>
                </c:pt>
                <c:pt idx="24">
                  <c:v>29.043661942736666</c:v>
                </c:pt>
                <c:pt idx="25">
                  <c:v>29.054539773066427</c:v>
                </c:pt>
                <c:pt idx="26">
                  <c:v>27.952252966316838</c:v>
                </c:pt>
                <c:pt idx="27">
                  <c:v>30.519420924141546</c:v>
                </c:pt>
                <c:pt idx="28">
                  <c:v>23.8331812147789</c:v>
                </c:pt>
                <c:pt idx="29">
                  <c:v>36.433914831041747</c:v>
                </c:pt>
                <c:pt idx="30">
                  <c:v>27.369056222903666</c:v>
                </c:pt>
                <c:pt idx="31">
                  <c:v>36.082198317045986</c:v>
                </c:pt>
                <c:pt idx="32">
                  <c:v>26.814286876085617</c:v>
                </c:pt>
                <c:pt idx="33">
                  <c:v>25.030322702004042</c:v>
                </c:pt>
                <c:pt idx="34">
                  <c:v>31.716562411366688</c:v>
                </c:pt>
                <c:pt idx="35">
                  <c:v>29.976109558604179</c:v>
                </c:pt>
                <c:pt idx="36">
                  <c:v>22.999794373781114</c:v>
                </c:pt>
                <c:pt idx="37">
                  <c:v>27.321918958141353</c:v>
                </c:pt>
                <c:pt idx="38">
                  <c:v>26.912187349053511</c:v>
                </c:pt>
                <c:pt idx="39">
                  <c:v>26.520585457181944</c:v>
                </c:pt>
                <c:pt idx="40">
                  <c:v>53.062491461810225</c:v>
                </c:pt>
                <c:pt idx="41">
                  <c:v>33.786976117465429</c:v>
                </c:pt>
                <c:pt idx="42">
                  <c:v>24.580705715040395</c:v>
                </c:pt>
                <c:pt idx="43">
                  <c:v>40.44420827928203</c:v>
                </c:pt>
                <c:pt idx="44">
                  <c:v>31.466372313782081</c:v>
                </c:pt>
                <c:pt idx="45">
                  <c:v>37.576087015667142</c:v>
                </c:pt>
                <c:pt idx="46">
                  <c:v>48.598955083163041</c:v>
                </c:pt>
                <c:pt idx="47">
                  <c:v>44.918622488258983</c:v>
                </c:pt>
                <c:pt idx="48">
                  <c:v>28.590419012329757</c:v>
                </c:pt>
                <c:pt idx="49">
                  <c:v>58.283269869146835</c:v>
                </c:pt>
                <c:pt idx="50">
                  <c:v>30.903770929126598</c:v>
                </c:pt>
                <c:pt idx="51">
                  <c:v>28.702243108119752</c:v>
                </c:pt>
                <c:pt idx="52">
                  <c:v>29.605103025490301</c:v>
                </c:pt>
                <c:pt idx="53">
                  <c:v>29.140982264753632</c:v>
                </c:pt>
                <c:pt idx="54">
                  <c:v>42.063844696515275</c:v>
                </c:pt>
                <c:pt idx="55">
                  <c:v>24.398248240975789</c:v>
                </c:pt>
                <c:pt idx="56">
                  <c:v>40.047820142065362</c:v>
                </c:pt>
                <c:pt idx="57">
                  <c:v>27.647093566132476</c:v>
                </c:pt>
                <c:pt idx="58">
                  <c:v>36.378365377491072</c:v>
                </c:pt>
                <c:pt idx="59">
                  <c:v>25.863129392050908</c:v>
                </c:pt>
                <c:pt idx="60">
                  <c:v>30.620367189601765</c:v>
                </c:pt>
                <c:pt idx="61">
                  <c:v>25.137940703399856</c:v>
                </c:pt>
                <c:pt idx="62">
                  <c:v>26.138701093738305</c:v>
                </c:pt>
                <c:pt idx="63">
                  <c:v>31.389067199571876</c:v>
                </c:pt>
                <c:pt idx="64">
                  <c:v>29.909682274723743</c:v>
                </c:pt>
                <c:pt idx="65">
                  <c:v>24.18069163438048</c:v>
                </c:pt>
                <c:pt idx="66">
                  <c:v>23.353976529318288</c:v>
                </c:pt>
                <c:pt idx="67">
                  <c:v>28.082206779323108</c:v>
                </c:pt>
                <c:pt idx="68">
                  <c:v>31.795172865216465</c:v>
                </c:pt>
                <c:pt idx="69">
                  <c:v>34.362340823041166</c:v>
                </c:pt>
                <c:pt idx="70">
                  <c:v>25.34099353622215</c:v>
                </c:pt>
                <c:pt idx="71">
                  <c:v>24.630308621344128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A-1D43-AAC0-A0E9C12AB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140319"/>
        <c:axId val="1444141999"/>
      </c:scatterChart>
      <c:valAx>
        <c:axId val="144414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141999"/>
        <c:crosses val="autoZero"/>
        <c:crossBetween val="midCat"/>
      </c:valAx>
      <c:valAx>
        <c:axId val="144414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140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'Boost, oil pressure'!$T$1</c:f>
              <c:strCache>
                <c:ptCount val="1"/>
                <c:pt idx="0">
                  <c:v>Engine RPM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'Boost, oil pressure'!$R$17:$R$74</c:f>
              <c:numCache>
                <c:formatCode>General</c:formatCode>
                <c:ptCount val="58"/>
                <c:pt idx="0">
                  <c:v>145303</c:v>
                </c:pt>
                <c:pt idx="1">
                  <c:v>152316</c:v>
                </c:pt>
                <c:pt idx="2">
                  <c:v>159259</c:v>
                </c:pt>
                <c:pt idx="3">
                  <c:v>166223</c:v>
                </c:pt>
                <c:pt idx="4">
                  <c:v>173195</c:v>
                </c:pt>
                <c:pt idx="5">
                  <c:v>180208</c:v>
                </c:pt>
                <c:pt idx="6">
                  <c:v>187143</c:v>
                </c:pt>
                <c:pt idx="7">
                  <c:v>194077</c:v>
                </c:pt>
                <c:pt idx="8">
                  <c:v>201020</c:v>
                </c:pt>
                <c:pt idx="9">
                  <c:v>207963</c:v>
                </c:pt>
                <c:pt idx="10">
                  <c:v>214906</c:v>
                </c:pt>
                <c:pt idx="11">
                  <c:v>221858</c:v>
                </c:pt>
                <c:pt idx="12">
                  <c:v>228784</c:v>
                </c:pt>
                <c:pt idx="13">
                  <c:v>235726</c:v>
                </c:pt>
                <c:pt idx="14">
                  <c:v>242680</c:v>
                </c:pt>
                <c:pt idx="15">
                  <c:v>249644</c:v>
                </c:pt>
                <c:pt idx="16">
                  <c:v>256639</c:v>
                </c:pt>
                <c:pt idx="17">
                  <c:v>263660</c:v>
                </c:pt>
                <c:pt idx="18">
                  <c:v>270729</c:v>
                </c:pt>
                <c:pt idx="19">
                  <c:v>277663</c:v>
                </c:pt>
                <c:pt idx="20">
                  <c:v>284609</c:v>
                </c:pt>
                <c:pt idx="21">
                  <c:v>291541</c:v>
                </c:pt>
                <c:pt idx="22">
                  <c:v>298525</c:v>
                </c:pt>
                <c:pt idx="23">
                  <c:v>305517</c:v>
                </c:pt>
                <c:pt idx="24">
                  <c:v>312561</c:v>
                </c:pt>
                <c:pt idx="25">
                  <c:v>319503</c:v>
                </c:pt>
                <c:pt idx="26">
                  <c:v>326475</c:v>
                </c:pt>
                <c:pt idx="27">
                  <c:v>333437</c:v>
                </c:pt>
                <c:pt idx="28">
                  <c:v>340530</c:v>
                </c:pt>
                <c:pt idx="29">
                  <c:v>347552</c:v>
                </c:pt>
                <c:pt idx="30">
                  <c:v>354526</c:v>
                </c:pt>
                <c:pt idx="31">
                  <c:v>361487</c:v>
                </c:pt>
                <c:pt idx="32">
                  <c:v>368479</c:v>
                </c:pt>
                <c:pt idx="33">
                  <c:v>375422</c:v>
                </c:pt>
                <c:pt idx="34">
                  <c:v>382365</c:v>
                </c:pt>
                <c:pt idx="35">
                  <c:v>389318</c:v>
                </c:pt>
                <c:pt idx="36">
                  <c:v>396251</c:v>
                </c:pt>
                <c:pt idx="37">
                  <c:v>403174</c:v>
                </c:pt>
                <c:pt idx="38">
                  <c:v>410108</c:v>
                </c:pt>
                <c:pt idx="39">
                  <c:v>417081</c:v>
                </c:pt>
                <c:pt idx="40">
                  <c:v>424062</c:v>
                </c:pt>
                <c:pt idx="41">
                  <c:v>431067</c:v>
                </c:pt>
                <c:pt idx="42">
                  <c:v>438101</c:v>
                </c:pt>
                <c:pt idx="43">
                  <c:v>445075</c:v>
                </c:pt>
                <c:pt idx="44">
                  <c:v>452018</c:v>
                </c:pt>
                <c:pt idx="45">
                  <c:v>459059</c:v>
                </c:pt>
                <c:pt idx="46">
                  <c:v>466109</c:v>
                </c:pt>
                <c:pt idx="47">
                  <c:v>473263</c:v>
                </c:pt>
                <c:pt idx="48">
                  <c:v>480347</c:v>
                </c:pt>
                <c:pt idx="49">
                  <c:v>487280</c:v>
                </c:pt>
                <c:pt idx="50">
                  <c:v>494191</c:v>
                </c:pt>
                <c:pt idx="51">
                  <c:v>501125</c:v>
                </c:pt>
                <c:pt idx="52">
                  <c:v>508081</c:v>
                </c:pt>
                <c:pt idx="53">
                  <c:v>515114</c:v>
                </c:pt>
                <c:pt idx="54">
                  <c:v>522089</c:v>
                </c:pt>
                <c:pt idx="55">
                  <c:v>529063</c:v>
                </c:pt>
                <c:pt idx="56">
                  <c:v>536099</c:v>
                </c:pt>
                <c:pt idx="57">
                  <c:v>543161</c:v>
                </c:pt>
              </c:numCache>
            </c:numRef>
          </c:xVal>
          <c:yVal>
            <c:numRef>
              <c:f>'Boost, oil pressure'!$T$17:$T$74</c:f>
              <c:numCache>
                <c:formatCode>General</c:formatCode>
                <c:ptCount val="58"/>
                <c:pt idx="0">
                  <c:v>1467.75</c:v>
                </c:pt>
                <c:pt idx="1">
                  <c:v>1913.75</c:v>
                </c:pt>
                <c:pt idx="2">
                  <c:v>1626.75</c:v>
                </c:pt>
                <c:pt idx="3">
                  <c:v>1541.75</c:v>
                </c:pt>
                <c:pt idx="4">
                  <c:v>852.25</c:v>
                </c:pt>
                <c:pt idx="5">
                  <c:v>1922.25</c:v>
                </c:pt>
                <c:pt idx="6">
                  <c:v>1427.75</c:v>
                </c:pt>
                <c:pt idx="7">
                  <c:v>1998.25</c:v>
                </c:pt>
                <c:pt idx="8">
                  <c:v>2489.75</c:v>
                </c:pt>
                <c:pt idx="9">
                  <c:v>2114.25</c:v>
                </c:pt>
                <c:pt idx="10">
                  <c:v>1422.25</c:v>
                </c:pt>
                <c:pt idx="11">
                  <c:v>829.25</c:v>
                </c:pt>
                <c:pt idx="12">
                  <c:v>798.75</c:v>
                </c:pt>
                <c:pt idx="13">
                  <c:v>833.75</c:v>
                </c:pt>
                <c:pt idx="14">
                  <c:v>1206.75</c:v>
                </c:pt>
                <c:pt idx="15">
                  <c:v>1736.75</c:v>
                </c:pt>
                <c:pt idx="16">
                  <c:v>1984.75</c:v>
                </c:pt>
                <c:pt idx="17">
                  <c:v>1862.75</c:v>
                </c:pt>
                <c:pt idx="18">
                  <c:v>1910.75</c:v>
                </c:pt>
                <c:pt idx="19">
                  <c:v>2044.25</c:v>
                </c:pt>
                <c:pt idx="20">
                  <c:v>1903.75</c:v>
                </c:pt>
                <c:pt idx="21">
                  <c:v>899.75</c:v>
                </c:pt>
                <c:pt idx="22">
                  <c:v>2186.25</c:v>
                </c:pt>
                <c:pt idx="23">
                  <c:v>2335.75</c:v>
                </c:pt>
                <c:pt idx="24">
                  <c:v>1082.25</c:v>
                </c:pt>
                <c:pt idx="25">
                  <c:v>1648.75</c:v>
                </c:pt>
                <c:pt idx="26">
                  <c:v>3062.75</c:v>
                </c:pt>
                <c:pt idx="27">
                  <c:v>2243.25</c:v>
                </c:pt>
                <c:pt idx="28">
                  <c:v>2947.25</c:v>
                </c:pt>
                <c:pt idx="29">
                  <c:v>2771.75</c:v>
                </c:pt>
                <c:pt idx="30">
                  <c:v>2670.25</c:v>
                </c:pt>
                <c:pt idx="31">
                  <c:v>2888.25</c:v>
                </c:pt>
                <c:pt idx="32">
                  <c:v>2418.75</c:v>
                </c:pt>
                <c:pt idx="33">
                  <c:v>2758.25</c:v>
                </c:pt>
                <c:pt idx="34">
                  <c:v>3905.75</c:v>
                </c:pt>
                <c:pt idx="35">
                  <c:v>2583.25</c:v>
                </c:pt>
                <c:pt idx="36">
                  <c:v>1904.75</c:v>
                </c:pt>
                <c:pt idx="37">
                  <c:v>1615.25</c:v>
                </c:pt>
                <c:pt idx="38">
                  <c:v>1021.25</c:v>
                </c:pt>
                <c:pt idx="39">
                  <c:v>1623.75</c:v>
                </c:pt>
                <c:pt idx="40">
                  <c:v>1335.25</c:v>
                </c:pt>
                <c:pt idx="41">
                  <c:v>1165.75</c:v>
                </c:pt>
                <c:pt idx="42">
                  <c:v>1818.75</c:v>
                </c:pt>
                <c:pt idx="43">
                  <c:v>1547.75</c:v>
                </c:pt>
                <c:pt idx="44">
                  <c:v>945.25</c:v>
                </c:pt>
                <c:pt idx="45">
                  <c:v>1944.75</c:v>
                </c:pt>
                <c:pt idx="46">
                  <c:v>1076.75</c:v>
                </c:pt>
                <c:pt idx="47">
                  <c:v>1583.75</c:v>
                </c:pt>
                <c:pt idx="48">
                  <c:v>1601.75</c:v>
                </c:pt>
                <c:pt idx="49">
                  <c:v>1077.75</c:v>
                </c:pt>
                <c:pt idx="50">
                  <c:v>1675.75</c:v>
                </c:pt>
                <c:pt idx="51">
                  <c:v>1427.75</c:v>
                </c:pt>
                <c:pt idx="52">
                  <c:v>1263.75</c:v>
                </c:pt>
                <c:pt idx="53">
                  <c:v>1303.75</c:v>
                </c:pt>
                <c:pt idx="54">
                  <c:v>1624.25</c:v>
                </c:pt>
                <c:pt idx="55">
                  <c:v>828.25</c:v>
                </c:pt>
                <c:pt idx="56">
                  <c:v>663.75</c:v>
                </c:pt>
                <c:pt idx="57">
                  <c:v>682.75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D3-DB4D-9005-18BF41FFD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437871"/>
        <c:axId val="1302504767"/>
      </c:scatterChart>
      <c:valAx>
        <c:axId val="136443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04767"/>
        <c:crosses val="autoZero"/>
        <c:crossBetween val="midCat"/>
      </c:valAx>
      <c:valAx>
        <c:axId val="130250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3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'Fuel rail pressure'!$I$1</c:f>
              <c:strCache>
                <c:ptCount val="1"/>
                <c:pt idx="0">
                  <c:v>Fuel rail pressure (PSI)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'Fuel rail pressure'!$A$2:$A$73</c:f>
              <c:numCache>
                <c:formatCode>General</c:formatCode>
                <c:ptCount val="72"/>
                <c:pt idx="0">
                  <c:v>42092</c:v>
                </c:pt>
                <c:pt idx="1">
                  <c:v>49125</c:v>
                </c:pt>
                <c:pt idx="2">
                  <c:v>56187</c:v>
                </c:pt>
                <c:pt idx="3">
                  <c:v>63188</c:v>
                </c:pt>
                <c:pt idx="4">
                  <c:v>70263</c:v>
                </c:pt>
                <c:pt idx="5">
                  <c:v>77347</c:v>
                </c:pt>
                <c:pt idx="6">
                  <c:v>84389</c:v>
                </c:pt>
                <c:pt idx="7">
                  <c:v>91333</c:v>
                </c:pt>
                <c:pt idx="8">
                  <c:v>98296</c:v>
                </c:pt>
                <c:pt idx="9">
                  <c:v>105241</c:v>
                </c:pt>
                <c:pt idx="10">
                  <c:v>112325</c:v>
                </c:pt>
                <c:pt idx="11">
                  <c:v>119390</c:v>
                </c:pt>
                <c:pt idx="12">
                  <c:v>126542</c:v>
                </c:pt>
                <c:pt idx="13">
                  <c:v>133466</c:v>
                </c:pt>
                <c:pt idx="14">
                  <c:v>140686</c:v>
                </c:pt>
                <c:pt idx="15">
                  <c:v>147712</c:v>
                </c:pt>
                <c:pt idx="16">
                  <c:v>154685</c:v>
                </c:pt>
                <c:pt idx="17">
                  <c:v>161657</c:v>
                </c:pt>
                <c:pt idx="18">
                  <c:v>168611</c:v>
                </c:pt>
                <c:pt idx="19">
                  <c:v>175613</c:v>
                </c:pt>
                <c:pt idx="20">
                  <c:v>182607</c:v>
                </c:pt>
                <c:pt idx="21">
                  <c:v>189512</c:v>
                </c:pt>
                <c:pt idx="22">
                  <c:v>196465</c:v>
                </c:pt>
                <c:pt idx="23">
                  <c:v>203419</c:v>
                </c:pt>
                <c:pt idx="24">
                  <c:v>210361</c:v>
                </c:pt>
                <c:pt idx="25">
                  <c:v>217294</c:v>
                </c:pt>
                <c:pt idx="26">
                  <c:v>224247</c:v>
                </c:pt>
                <c:pt idx="27">
                  <c:v>231172</c:v>
                </c:pt>
                <c:pt idx="28">
                  <c:v>238135</c:v>
                </c:pt>
                <c:pt idx="29">
                  <c:v>245098</c:v>
                </c:pt>
                <c:pt idx="30">
                  <c:v>252094</c:v>
                </c:pt>
                <c:pt idx="31">
                  <c:v>259027</c:v>
                </c:pt>
                <c:pt idx="32">
                  <c:v>266067</c:v>
                </c:pt>
                <c:pt idx="33">
                  <c:v>273128</c:v>
                </c:pt>
                <c:pt idx="34">
                  <c:v>280061</c:v>
                </c:pt>
                <c:pt idx="35">
                  <c:v>287007</c:v>
                </c:pt>
                <c:pt idx="36">
                  <c:v>293949</c:v>
                </c:pt>
                <c:pt idx="37">
                  <c:v>300943</c:v>
                </c:pt>
                <c:pt idx="38">
                  <c:v>307946</c:v>
                </c:pt>
                <c:pt idx="39">
                  <c:v>314949</c:v>
                </c:pt>
                <c:pt idx="40">
                  <c:v>321910</c:v>
                </c:pt>
                <c:pt idx="41">
                  <c:v>328873</c:v>
                </c:pt>
                <c:pt idx="42">
                  <c:v>335846</c:v>
                </c:pt>
                <c:pt idx="43">
                  <c:v>342967</c:v>
                </c:pt>
                <c:pt idx="44">
                  <c:v>349941</c:v>
                </c:pt>
                <c:pt idx="45">
                  <c:v>356914</c:v>
                </c:pt>
                <c:pt idx="46">
                  <c:v>363886</c:v>
                </c:pt>
                <c:pt idx="47">
                  <c:v>370868</c:v>
                </c:pt>
                <c:pt idx="48">
                  <c:v>377811</c:v>
                </c:pt>
                <c:pt idx="49">
                  <c:v>384754</c:v>
                </c:pt>
                <c:pt idx="50">
                  <c:v>391706</c:v>
                </c:pt>
                <c:pt idx="51">
                  <c:v>398629</c:v>
                </c:pt>
                <c:pt idx="52">
                  <c:v>405552</c:v>
                </c:pt>
                <c:pt idx="53">
                  <c:v>412486</c:v>
                </c:pt>
                <c:pt idx="54">
                  <c:v>419479</c:v>
                </c:pt>
                <c:pt idx="55">
                  <c:v>426461</c:v>
                </c:pt>
                <c:pt idx="56">
                  <c:v>433485</c:v>
                </c:pt>
                <c:pt idx="57">
                  <c:v>440501</c:v>
                </c:pt>
                <c:pt idx="58">
                  <c:v>447453</c:v>
                </c:pt>
                <c:pt idx="59">
                  <c:v>454446</c:v>
                </c:pt>
                <c:pt idx="60">
                  <c:v>461505</c:v>
                </c:pt>
                <c:pt idx="61">
                  <c:v>468529</c:v>
                </c:pt>
                <c:pt idx="62">
                  <c:v>475700</c:v>
                </c:pt>
                <c:pt idx="63">
                  <c:v>482726</c:v>
                </c:pt>
                <c:pt idx="64">
                  <c:v>489657</c:v>
                </c:pt>
                <c:pt idx="65">
                  <c:v>496580</c:v>
                </c:pt>
                <c:pt idx="66">
                  <c:v>503505</c:v>
                </c:pt>
                <c:pt idx="67">
                  <c:v>510490</c:v>
                </c:pt>
                <c:pt idx="68">
                  <c:v>517512</c:v>
                </c:pt>
                <c:pt idx="69">
                  <c:v>524477</c:v>
                </c:pt>
                <c:pt idx="70">
                  <c:v>531472</c:v>
                </c:pt>
                <c:pt idx="71">
                  <c:v>538527</c:v>
                </c:pt>
              </c:numCache>
            </c:numRef>
          </c:xVal>
          <c:yVal>
            <c:numRef>
              <c:f>'Fuel rail pressure'!$I$2:$I$73</c:f>
              <c:numCache>
                <c:formatCode>General</c:formatCode>
                <c:ptCount val="72"/>
                <c:pt idx="0">
                  <c:v>681.67736733198331</c:v>
                </c:pt>
                <c:pt idx="1">
                  <c:v>655.57057454054564</c:v>
                </c:pt>
                <c:pt idx="2">
                  <c:v>812.21133128917154</c:v>
                </c:pt>
                <c:pt idx="3">
                  <c:v>693.28038635040002</c:v>
                </c:pt>
                <c:pt idx="4">
                  <c:v>762.89850046090044</c:v>
                </c:pt>
                <c:pt idx="5">
                  <c:v>835.41736932600509</c:v>
                </c:pt>
                <c:pt idx="6">
                  <c:v>738.24208504676483</c:v>
                </c:pt>
                <c:pt idx="7">
                  <c:v>717.93680176453563</c:v>
                </c:pt>
                <c:pt idx="8">
                  <c:v>838.31812408060921</c:v>
                </c:pt>
                <c:pt idx="9">
                  <c:v>877.47831326776566</c:v>
                </c:pt>
                <c:pt idx="10">
                  <c:v>758.54736832899414</c:v>
                </c:pt>
                <c:pt idx="11">
                  <c:v>794.80680276154646</c:v>
                </c:pt>
                <c:pt idx="12">
                  <c:v>754.19623619708784</c:v>
                </c:pt>
                <c:pt idx="13">
                  <c:v>1038.4702021482979</c:v>
                </c:pt>
                <c:pt idx="14">
                  <c:v>693.28038635040002</c:v>
                </c:pt>
                <c:pt idx="15">
                  <c:v>797.70755751615059</c:v>
                </c:pt>
                <c:pt idx="16">
                  <c:v>681.67736733198331</c:v>
                </c:pt>
                <c:pt idx="17">
                  <c:v>271.22056955549124</c:v>
                </c:pt>
                <c:pt idx="18">
                  <c:v>752.74585881978578</c:v>
                </c:pt>
                <c:pt idx="19">
                  <c:v>854.27227523093222</c:v>
                </c:pt>
                <c:pt idx="20">
                  <c:v>815.11208604377578</c:v>
                </c:pt>
                <c:pt idx="21">
                  <c:v>478.62453450969036</c:v>
                </c:pt>
                <c:pt idx="22">
                  <c:v>768.70000997010879</c:v>
                </c:pt>
                <c:pt idx="23">
                  <c:v>806.40982177996318</c:v>
                </c:pt>
                <c:pt idx="24">
                  <c:v>775.95189685661921</c:v>
                </c:pt>
                <c:pt idx="25">
                  <c:v>713.58566963262933</c:v>
                </c:pt>
                <c:pt idx="26">
                  <c:v>725.18868865104605</c:v>
                </c:pt>
                <c:pt idx="27">
                  <c:v>759.9977457062962</c:v>
                </c:pt>
                <c:pt idx="28">
                  <c:v>768.70000997010879</c:v>
                </c:pt>
                <c:pt idx="29">
                  <c:v>728.08944340565017</c:v>
                </c:pt>
                <c:pt idx="30">
                  <c:v>719.38717914183769</c:v>
                </c:pt>
                <c:pt idx="31">
                  <c:v>1367.7058667958729</c:v>
                </c:pt>
                <c:pt idx="32">
                  <c:v>764.3488778382025</c:v>
                </c:pt>
                <c:pt idx="33">
                  <c:v>1009.4626546022561</c:v>
                </c:pt>
                <c:pt idx="34">
                  <c:v>765.79925521550467</c:v>
                </c:pt>
                <c:pt idx="35">
                  <c:v>730.99019816025441</c:v>
                </c:pt>
                <c:pt idx="36">
                  <c:v>1025.4168057525792</c:v>
                </c:pt>
                <c:pt idx="37">
                  <c:v>945.64605000096401</c:v>
                </c:pt>
                <c:pt idx="38">
                  <c:v>765.79925521550467</c:v>
                </c:pt>
                <c:pt idx="39">
                  <c:v>742.59321717867113</c:v>
                </c:pt>
                <c:pt idx="40">
                  <c:v>1605.5677566734159</c:v>
                </c:pt>
                <c:pt idx="41">
                  <c:v>384.3500049850544</c:v>
                </c:pt>
                <c:pt idx="42">
                  <c:v>810.76095391186948</c:v>
                </c:pt>
                <c:pt idx="43">
                  <c:v>1688.2392671796351</c:v>
                </c:pt>
                <c:pt idx="44">
                  <c:v>754.19623619708784</c:v>
                </c:pt>
                <c:pt idx="45">
                  <c:v>1431.522471397165</c:v>
                </c:pt>
                <c:pt idx="46">
                  <c:v>925.3407667187347</c:v>
                </c:pt>
                <c:pt idx="47">
                  <c:v>1266.1794503847264</c:v>
                </c:pt>
                <c:pt idx="48">
                  <c:v>1595.4151150323012</c:v>
                </c:pt>
                <c:pt idx="49">
                  <c:v>558.39529026130549</c:v>
                </c:pt>
                <c:pt idx="50">
                  <c:v>1241.5230349705907</c:v>
                </c:pt>
                <c:pt idx="51">
                  <c:v>1019.6152962433707</c:v>
                </c:pt>
                <c:pt idx="52">
                  <c:v>729.53982078295235</c:v>
                </c:pt>
                <c:pt idx="53">
                  <c:v>1283.5839789123515</c:v>
                </c:pt>
                <c:pt idx="54">
                  <c:v>878.92869064506783</c:v>
                </c:pt>
                <c:pt idx="55">
                  <c:v>639.61642339022262</c:v>
                </c:pt>
                <c:pt idx="56">
                  <c:v>474.27340237778412</c:v>
                </c:pt>
                <c:pt idx="57">
                  <c:v>722.28793389644181</c:v>
                </c:pt>
                <c:pt idx="58">
                  <c:v>926.79114409603687</c:v>
                </c:pt>
                <c:pt idx="59">
                  <c:v>758.54736832899414</c:v>
                </c:pt>
                <c:pt idx="60">
                  <c:v>789.00529325233811</c:v>
                </c:pt>
                <c:pt idx="61">
                  <c:v>905.0354834365055</c:v>
                </c:pt>
                <c:pt idx="62">
                  <c:v>777.40227423392139</c:v>
                </c:pt>
                <c:pt idx="63">
                  <c:v>780.30302898852551</c:v>
                </c:pt>
                <c:pt idx="64">
                  <c:v>851.3715204763281</c:v>
                </c:pt>
                <c:pt idx="65">
                  <c:v>1090.6837877311732</c:v>
                </c:pt>
                <c:pt idx="66">
                  <c:v>691.83000897309796</c:v>
                </c:pt>
                <c:pt idx="67">
                  <c:v>746.94434931057742</c:v>
                </c:pt>
                <c:pt idx="68">
                  <c:v>716.48642438723346</c:v>
                </c:pt>
                <c:pt idx="69">
                  <c:v>778.85265161122345</c:v>
                </c:pt>
                <c:pt idx="70">
                  <c:v>780.30302898852551</c:v>
                </c:pt>
                <c:pt idx="71">
                  <c:v>749.84510406518166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F3-8240-B427-475CE8B6C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334031"/>
        <c:axId val="1359706543"/>
      </c:scatterChart>
      <c:valAx>
        <c:axId val="130833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06543"/>
        <c:crosses val="autoZero"/>
        <c:crossBetween val="midCat"/>
      </c:valAx>
      <c:valAx>
        <c:axId val="135970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3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11</xdr:row>
      <xdr:rowOff>171450</xdr:rowOff>
    </xdr:from>
    <xdr:to>
      <xdr:col>19</xdr:col>
      <xdr:colOff>279400</xdr:colOff>
      <xdr:row>30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50B04-02B8-5948-AFA6-F23CA13E8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13</xdr:row>
      <xdr:rowOff>177800</xdr:rowOff>
    </xdr:from>
    <xdr:to>
      <xdr:col>14</xdr:col>
      <xdr:colOff>482600</xdr:colOff>
      <xdr:row>38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F31BC1-4467-5841-8BF1-9B0D2979C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12700</xdr:colOff>
      <xdr:row>0</xdr:row>
      <xdr:rowOff>0</xdr:rowOff>
    </xdr:from>
    <xdr:to>
      <xdr:col>22</xdr:col>
      <xdr:colOff>812800</xdr:colOff>
      <xdr:row>18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7FEBE8-81DA-9944-9D0B-8F854F45C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446741</xdr:colOff>
      <xdr:row>17</xdr:row>
      <xdr:rowOff>156966</xdr:rowOff>
    </xdr:from>
    <xdr:to>
      <xdr:col>23</xdr:col>
      <xdr:colOff>423305</xdr:colOff>
      <xdr:row>35</xdr:row>
      <xdr:rowOff>168186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765FE1-8305-6547-AC4C-18C472ADE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3</xdr:row>
      <xdr:rowOff>152400</xdr:rowOff>
    </xdr:from>
    <xdr:to>
      <xdr:col>15</xdr:col>
      <xdr:colOff>304800</xdr:colOff>
      <xdr:row>32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6668E-F4BA-9D42-BC4B-3DDF7C44E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ed" refreshedDate="46019.481910879629" createdVersion="6" refreshedVersion="6" minRefreshableVersion="3" recordCount="1882" xr:uid="{47A0B2B2-28D4-6746-B5C7-60A4923FD306}">
  <cacheSource type="worksheet">
    <worksheetSource ref="A1:G1883" sheet="Data"/>
  </cacheSource>
  <cacheFields count="7">
    <cacheField name="timetag" numFmtId="0">
      <sharedItems containsSemiMixedTypes="0" containsString="0" containsNumber="1" containsInteger="1" minValue="38462" maxValue="549387" count="1882">
        <n v="38462"/>
        <n v="38654"/>
        <n v="38866"/>
        <n v="39248"/>
        <n v="39460"/>
        <n v="39682"/>
        <n v="39884"/>
        <n v="40096"/>
        <n v="40309"/>
        <n v="40511"/>
        <n v="40723"/>
        <n v="41105"/>
        <n v="41487"/>
        <n v="41869"/>
        <n v="42092"/>
        <n v="42284"/>
        <n v="42506"/>
        <n v="42728"/>
        <n v="42930"/>
        <n v="43132"/>
        <n v="43514"/>
        <n v="43886"/>
        <n v="44268"/>
        <n v="44650"/>
        <n v="44912"/>
        <n v="45284"/>
        <n v="45486"/>
        <n v="45688"/>
        <n v="45900"/>
        <n v="46282"/>
        <n v="46494"/>
        <n v="46706"/>
        <n v="46908"/>
        <n v="47120"/>
        <n v="47343"/>
        <n v="47555"/>
        <n v="47767"/>
        <n v="48149"/>
        <n v="48531"/>
        <n v="48913"/>
        <n v="49125"/>
        <n v="49327"/>
        <n v="49569"/>
        <n v="49791"/>
        <n v="49994"/>
        <n v="50197"/>
        <n v="50579"/>
        <n v="50990"/>
        <n v="51372"/>
        <n v="51754"/>
        <n v="52006"/>
        <n v="52388"/>
        <n v="52589"/>
        <n v="52781"/>
        <n v="52993"/>
        <n v="53375"/>
        <n v="53597"/>
        <n v="53809"/>
        <n v="54001"/>
        <n v="54213"/>
        <n v="54425"/>
        <n v="54638"/>
        <n v="54849"/>
        <n v="55231"/>
        <n v="55603"/>
        <n v="55975"/>
        <n v="56187"/>
        <n v="56378"/>
        <n v="56590"/>
        <n v="56802"/>
        <n v="56994"/>
        <n v="57186"/>
        <n v="57558"/>
        <n v="57930"/>
        <n v="58312"/>
        <n v="58694"/>
        <n v="58956"/>
        <n v="59338"/>
        <n v="59530"/>
        <n v="59722"/>
        <n v="59945"/>
        <n v="60317"/>
        <n v="60529"/>
        <n v="60741"/>
        <n v="60933"/>
        <n v="61145"/>
        <n v="61357"/>
        <n v="61579"/>
        <n v="61820"/>
        <n v="62202"/>
        <n v="62584"/>
        <n v="62976"/>
        <n v="63188"/>
        <n v="63380"/>
        <n v="63593"/>
        <n v="63805"/>
        <n v="63997"/>
        <n v="64189"/>
        <n v="64561"/>
        <n v="64943"/>
        <n v="65335"/>
        <n v="65707"/>
        <n v="65959"/>
        <n v="66362"/>
        <n v="66564"/>
        <n v="66806"/>
        <n v="67018"/>
        <n v="67400"/>
        <n v="67622"/>
        <n v="67834"/>
        <n v="68026"/>
        <n v="68248"/>
        <n v="68470"/>
        <n v="68682"/>
        <n v="68894"/>
        <n v="69277"/>
        <n v="69659"/>
        <n v="70051"/>
        <n v="70263"/>
        <n v="70455"/>
        <n v="70667"/>
        <n v="70879"/>
        <n v="71081"/>
        <n v="71273"/>
        <n v="71655"/>
        <n v="72037"/>
        <n v="72419"/>
        <n v="72821"/>
        <n v="73093"/>
        <n v="73476"/>
        <n v="73678"/>
        <n v="73880"/>
        <n v="74092"/>
        <n v="74475"/>
        <n v="74697"/>
        <n v="74899"/>
        <n v="75101"/>
        <n v="75313"/>
        <n v="75565"/>
        <n v="75777"/>
        <n v="75989"/>
        <n v="76371"/>
        <n v="76743"/>
        <n v="77125"/>
        <n v="77347"/>
        <n v="77539"/>
        <n v="77770"/>
        <n v="77982"/>
        <n v="78174"/>
        <n v="78366"/>
        <n v="78748"/>
        <n v="79120"/>
        <n v="79502"/>
        <n v="79884"/>
        <n v="80135"/>
        <n v="80518"/>
        <n v="80720"/>
        <n v="80912"/>
        <n v="81124"/>
        <n v="81516"/>
        <n v="81728"/>
        <n v="81940"/>
        <n v="82132"/>
        <n v="82345"/>
        <n v="82557"/>
        <n v="82799"/>
        <n v="83041"/>
        <n v="83423"/>
        <n v="83805"/>
        <n v="84187"/>
        <n v="84389"/>
        <n v="84582"/>
        <n v="84794"/>
        <n v="85006"/>
        <n v="85198"/>
        <n v="85391"/>
        <n v="85763"/>
        <n v="86145"/>
        <n v="86527"/>
        <n v="86909"/>
        <n v="87151"/>
        <n v="87523"/>
        <n v="87725"/>
        <n v="87917"/>
        <n v="88139"/>
        <n v="88511"/>
        <n v="88723"/>
        <n v="88935"/>
        <n v="89127"/>
        <n v="89339"/>
        <n v="89551"/>
        <n v="89763"/>
        <n v="89975"/>
        <n v="90357"/>
        <n v="90729"/>
        <n v="91111"/>
        <n v="91333"/>
        <n v="91525"/>
        <n v="91737"/>
        <n v="91949"/>
        <n v="92141"/>
        <n v="92343"/>
        <n v="92726"/>
        <n v="93108"/>
        <n v="93480"/>
        <n v="93862"/>
        <n v="94114"/>
        <n v="94496"/>
        <n v="94698"/>
        <n v="94890"/>
        <n v="95102"/>
        <n v="95484"/>
        <n v="95696"/>
        <n v="95908"/>
        <n v="96100"/>
        <n v="96312"/>
        <n v="96524"/>
        <n v="96736"/>
        <n v="96948"/>
        <n v="97320"/>
        <n v="97702"/>
        <n v="98084"/>
        <n v="98296"/>
        <n v="98489"/>
        <n v="98712"/>
        <n v="98924"/>
        <n v="99116"/>
        <n v="99308"/>
        <n v="99680"/>
        <n v="100062"/>
        <n v="100444"/>
        <n v="100826"/>
        <n v="101078"/>
        <n v="101460"/>
        <n v="101652"/>
        <n v="101844"/>
        <n v="102057"/>
        <n v="102439"/>
        <n v="102651"/>
        <n v="102863"/>
        <n v="103055"/>
        <n v="103267"/>
        <n v="103479"/>
        <n v="103681"/>
        <n v="103893"/>
        <n v="104265"/>
        <n v="104647"/>
        <n v="105029"/>
        <n v="105241"/>
        <n v="105433"/>
        <n v="105645"/>
        <n v="105857"/>
        <n v="106050"/>
        <n v="106252"/>
        <n v="106634"/>
        <n v="107006"/>
        <n v="107388"/>
        <n v="107769"/>
        <n v="108032"/>
        <n v="108424"/>
        <n v="108626"/>
        <n v="108839"/>
        <n v="109041"/>
        <n v="109423"/>
        <n v="109635"/>
        <n v="109856"/>
        <n v="110058"/>
        <n v="110270"/>
        <n v="110492"/>
        <n v="110704"/>
        <n v="110936"/>
        <n v="111338"/>
        <n v="111730"/>
        <n v="112112"/>
        <n v="112325"/>
        <n v="112517"/>
        <n v="112730"/>
        <n v="112933"/>
        <n v="113135"/>
        <n v="113327"/>
        <n v="113709"/>
        <n v="114091"/>
        <n v="114513"/>
        <n v="114895"/>
        <n v="115167"/>
        <n v="115549"/>
        <n v="115751"/>
        <n v="115943"/>
        <n v="116155"/>
        <n v="116537"/>
        <n v="116759"/>
        <n v="116972"/>
        <n v="117164"/>
        <n v="117376"/>
        <n v="117598"/>
        <n v="117810"/>
        <n v="118032"/>
        <n v="118414"/>
        <n v="118796"/>
        <n v="119178"/>
        <n v="119390"/>
        <n v="119572"/>
        <n v="119784"/>
        <n v="120055"/>
        <n v="120247"/>
        <n v="120459"/>
        <n v="120841"/>
        <n v="121223"/>
        <n v="121605"/>
        <n v="121986"/>
        <n v="122248"/>
        <n v="122680"/>
        <n v="122892"/>
        <n v="123104"/>
        <n v="123336"/>
        <n v="123718"/>
        <n v="123930"/>
        <n v="124142"/>
        <n v="124334"/>
        <n v="124546"/>
        <n v="124758"/>
        <n v="124971"/>
        <n v="125194"/>
        <n v="125576"/>
        <n v="125958"/>
        <n v="126340"/>
        <n v="126542"/>
        <n v="126734"/>
        <n v="126946"/>
        <n v="127158"/>
        <n v="127340"/>
        <n v="127522"/>
        <n v="127905"/>
        <n v="128287"/>
        <n v="128669"/>
        <n v="129041"/>
        <n v="129293"/>
        <n v="129675"/>
        <n v="129877"/>
        <n v="130069"/>
        <n v="130281"/>
        <n v="130653"/>
        <n v="130865"/>
        <n v="131077"/>
        <n v="131269"/>
        <n v="131481"/>
        <n v="131693"/>
        <n v="131905"/>
        <n v="132118"/>
        <n v="132500"/>
        <n v="132872"/>
        <n v="133254"/>
        <n v="133466"/>
        <n v="133658"/>
        <n v="133870"/>
        <n v="134082"/>
        <n v="134274"/>
        <n v="134466"/>
        <n v="134848"/>
        <n v="135250"/>
        <n v="135631"/>
        <n v="136083"/>
        <n v="136335"/>
        <n v="136718"/>
        <n v="136910"/>
        <n v="137092"/>
        <n v="137333"/>
        <n v="137715"/>
        <n v="137986"/>
        <n v="138208"/>
        <n v="138400"/>
        <n v="138612"/>
        <n v="138834"/>
        <n v="139047"/>
        <n v="139259"/>
        <n v="139660"/>
        <n v="140042"/>
        <n v="140434"/>
        <n v="140686"/>
        <n v="140868"/>
        <n v="141090"/>
        <n v="141293"/>
        <n v="141485"/>
        <n v="141677"/>
        <n v="142069"/>
        <n v="142461"/>
        <n v="142843"/>
        <n v="143265"/>
        <n v="143517"/>
        <n v="143899"/>
        <n v="144092"/>
        <n v="144294"/>
        <n v="144506"/>
        <n v="144888"/>
        <n v="145091"/>
        <n v="145303"/>
        <n v="145495"/>
        <n v="145707"/>
        <n v="145919"/>
        <n v="146131"/>
        <n v="146343"/>
        <n v="146726"/>
        <n v="147108"/>
        <n v="147490"/>
        <n v="147712"/>
        <n v="147904"/>
        <n v="148116"/>
        <n v="148328"/>
        <n v="148540"/>
        <n v="148742"/>
        <n v="149124"/>
        <n v="149506"/>
        <n v="149888"/>
        <n v="150260"/>
        <n v="150512"/>
        <n v="150894"/>
        <n v="151096"/>
        <n v="151288"/>
        <n v="151500"/>
        <n v="151882"/>
        <n v="152104"/>
        <n v="152316"/>
        <n v="152508"/>
        <n v="152710"/>
        <n v="152912"/>
        <n v="153125"/>
        <n v="153337"/>
        <n v="153719"/>
        <n v="154091"/>
        <n v="154473"/>
        <n v="154685"/>
        <n v="154877"/>
        <n v="155089"/>
        <n v="155301"/>
        <n v="155503"/>
        <n v="155695"/>
        <n v="156077"/>
        <n v="156459"/>
        <n v="156841"/>
        <n v="157223"/>
        <n v="157475"/>
        <n v="157847"/>
        <n v="158049"/>
        <n v="158231"/>
        <n v="158453"/>
        <n v="158835"/>
        <n v="159047"/>
        <n v="159259"/>
        <n v="159451"/>
        <n v="159663"/>
        <n v="159875"/>
        <n v="160087"/>
        <n v="160299"/>
        <n v="160681"/>
        <n v="161053"/>
        <n v="161435"/>
        <n v="161657"/>
        <n v="161849"/>
        <n v="162061"/>
        <n v="162283"/>
        <n v="162475"/>
        <n v="162667"/>
        <n v="163049"/>
        <n v="163431"/>
        <n v="163813"/>
        <n v="164195"/>
        <n v="164448"/>
        <n v="164830"/>
        <n v="165022"/>
        <n v="165214"/>
        <n v="165426"/>
        <n v="165808"/>
        <n v="166010"/>
        <n v="166223"/>
        <n v="166415"/>
        <n v="166627"/>
        <n v="166839"/>
        <n v="167051"/>
        <n v="167253"/>
        <n v="167635"/>
        <n v="168017"/>
        <n v="168399"/>
        <n v="168611"/>
        <n v="168813"/>
        <n v="169025"/>
        <n v="169237"/>
        <n v="169429"/>
        <n v="169621"/>
        <n v="170003"/>
        <n v="170385"/>
        <n v="170767"/>
        <n v="171149"/>
        <n v="171401"/>
        <n v="171783"/>
        <n v="171985"/>
        <n v="172177"/>
        <n v="172389"/>
        <n v="172771"/>
        <n v="172983"/>
        <n v="173195"/>
        <n v="173387"/>
        <n v="173599"/>
        <n v="173822"/>
        <n v="174034"/>
        <n v="174255"/>
        <n v="174637"/>
        <n v="175019"/>
        <n v="175401"/>
        <n v="175613"/>
        <n v="175805"/>
        <n v="176017"/>
        <n v="176230"/>
        <n v="176412"/>
        <n v="176644"/>
        <n v="177016"/>
        <n v="177398"/>
        <n v="177780"/>
        <n v="178172"/>
        <n v="178424"/>
        <n v="178796"/>
        <n v="178998"/>
        <n v="179190"/>
        <n v="179402"/>
        <n v="179784"/>
        <n v="179996"/>
        <n v="180208"/>
        <n v="180400"/>
        <n v="180623"/>
        <n v="180835"/>
        <n v="181047"/>
        <n v="181259"/>
        <n v="181631"/>
        <n v="182013"/>
        <n v="182395"/>
        <n v="182607"/>
        <n v="182799"/>
        <n v="183011"/>
        <n v="183224"/>
        <n v="183416"/>
        <n v="183608"/>
        <n v="183980"/>
        <n v="184362"/>
        <n v="184744"/>
        <n v="185126"/>
        <n v="185388"/>
        <n v="185760"/>
        <n v="185952"/>
        <n v="186144"/>
        <n v="186356"/>
        <n v="186728"/>
        <n v="186940"/>
        <n v="187143"/>
        <n v="187335"/>
        <n v="187548"/>
        <n v="187760"/>
        <n v="187962"/>
        <n v="188164"/>
        <n v="188546"/>
        <n v="188928"/>
        <n v="189310"/>
        <n v="189512"/>
        <n v="189704"/>
        <n v="189916"/>
        <n v="190128"/>
        <n v="190320"/>
        <n v="190522"/>
        <n v="190904"/>
        <n v="191276"/>
        <n v="191648"/>
        <n v="192030"/>
        <n v="192282"/>
        <n v="192664"/>
        <n v="192866"/>
        <n v="193058"/>
        <n v="193271"/>
        <n v="193653"/>
        <n v="193865"/>
        <n v="194077"/>
        <n v="194269"/>
        <n v="194471"/>
        <n v="194673"/>
        <n v="194895"/>
        <n v="195107"/>
        <n v="195489"/>
        <n v="195871"/>
        <n v="196253"/>
        <n v="196465"/>
        <n v="196658"/>
        <n v="196870"/>
        <n v="197082"/>
        <n v="197264"/>
        <n v="197456"/>
        <n v="197838"/>
        <n v="198210"/>
        <n v="198592"/>
        <n v="198974"/>
        <n v="199226"/>
        <n v="199608"/>
        <n v="199810"/>
        <n v="200002"/>
        <n v="200214"/>
        <n v="200596"/>
        <n v="200808"/>
        <n v="201020"/>
        <n v="201202"/>
        <n v="201424"/>
        <n v="201636"/>
        <n v="201848"/>
        <n v="202061"/>
        <n v="202443"/>
        <n v="202825"/>
        <n v="203207"/>
        <n v="203419"/>
        <n v="203611"/>
        <n v="203823"/>
        <n v="204035"/>
        <n v="204227"/>
        <n v="204419"/>
        <n v="204801"/>
        <n v="205183"/>
        <n v="205565"/>
        <n v="205937"/>
        <n v="206189"/>
        <n v="206571"/>
        <n v="206763"/>
        <n v="206955"/>
        <n v="207167"/>
        <n v="207539"/>
        <n v="207751"/>
        <n v="207963"/>
        <n v="208155"/>
        <n v="208367"/>
        <n v="208579"/>
        <n v="208791"/>
        <n v="209003"/>
        <n v="209385"/>
        <n v="209767"/>
        <n v="210149"/>
        <n v="210361"/>
        <n v="210543"/>
        <n v="210755"/>
        <n v="210967"/>
        <n v="211159"/>
        <n v="211351"/>
        <n v="211723"/>
        <n v="212105"/>
        <n v="212487"/>
        <n v="212869"/>
        <n v="213121"/>
        <n v="213493"/>
        <n v="213695"/>
        <n v="213887"/>
        <n v="214099"/>
        <n v="214482"/>
        <n v="214694"/>
        <n v="214906"/>
        <n v="215098"/>
        <n v="215310"/>
        <n v="215522"/>
        <n v="215734"/>
        <n v="215946"/>
        <n v="216318"/>
        <n v="216700"/>
        <n v="217082"/>
        <n v="217294"/>
        <n v="217486"/>
        <n v="217699"/>
        <n v="217901"/>
        <n v="218102"/>
        <n v="218294"/>
        <n v="218676"/>
        <n v="219058"/>
        <n v="219430"/>
        <n v="219812"/>
        <n v="220064"/>
        <n v="220446"/>
        <n v="220648"/>
        <n v="220840"/>
        <n v="221052"/>
        <n v="221434"/>
        <n v="221646"/>
        <n v="221858"/>
        <n v="222050"/>
        <n v="222272"/>
        <n v="222484"/>
        <n v="222697"/>
        <n v="222909"/>
        <n v="223291"/>
        <n v="223663"/>
        <n v="224035"/>
        <n v="224247"/>
        <n v="224439"/>
        <n v="224652"/>
        <n v="224864"/>
        <n v="225056"/>
        <n v="225249"/>
        <n v="225631"/>
        <n v="226003"/>
        <n v="226385"/>
        <n v="226757"/>
        <n v="227009"/>
        <n v="227391"/>
        <n v="227583"/>
        <n v="227775"/>
        <n v="227987"/>
        <n v="228370"/>
        <n v="228582"/>
        <n v="228784"/>
        <n v="228976"/>
        <n v="229188"/>
        <n v="229400"/>
        <n v="229602"/>
        <n v="229814"/>
        <n v="230196"/>
        <n v="230578"/>
        <n v="230960"/>
        <n v="231172"/>
        <n v="231364"/>
        <n v="231576"/>
        <n v="231788"/>
        <n v="231980"/>
        <n v="232162"/>
        <n v="232544"/>
        <n v="232926"/>
        <n v="233308"/>
        <n v="233690"/>
        <n v="233942"/>
        <n v="234314"/>
        <n v="234516"/>
        <n v="234708"/>
        <n v="234930"/>
        <n v="235312"/>
        <n v="235514"/>
        <n v="235726"/>
        <n v="235918"/>
        <n v="236130"/>
        <n v="236343"/>
        <n v="236555"/>
        <n v="236767"/>
        <n v="237149"/>
        <n v="237531"/>
        <n v="237913"/>
        <n v="238135"/>
        <n v="238327"/>
        <n v="238539"/>
        <n v="238751"/>
        <n v="238933"/>
        <n v="239125"/>
        <n v="239507"/>
        <n v="239889"/>
        <n v="240271"/>
        <n v="240653"/>
        <n v="240905"/>
        <n v="241277"/>
        <n v="241479"/>
        <n v="241661"/>
        <n v="241873"/>
        <n v="242255"/>
        <n v="242467"/>
        <n v="242680"/>
        <n v="242872"/>
        <n v="243104"/>
        <n v="243316"/>
        <n v="243528"/>
        <n v="243740"/>
        <n v="244122"/>
        <n v="244504"/>
        <n v="244886"/>
        <n v="245098"/>
        <n v="245291"/>
        <n v="245503"/>
        <n v="245715"/>
        <n v="245917"/>
        <n v="246109"/>
        <n v="246481"/>
        <n v="246863"/>
        <n v="247245"/>
        <n v="247627"/>
        <n v="247879"/>
        <n v="248261"/>
        <n v="248463"/>
        <n v="248646"/>
        <n v="248858"/>
        <n v="249240"/>
        <n v="249442"/>
        <n v="249644"/>
        <n v="249847"/>
        <n v="250079"/>
        <n v="250291"/>
        <n v="250513"/>
        <n v="250725"/>
        <n v="251107"/>
        <n v="251489"/>
        <n v="251871"/>
        <n v="252094"/>
        <n v="252286"/>
        <n v="252498"/>
        <n v="252710"/>
        <n v="252902"/>
        <n v="253084"/>
        <n v="253466"/>
        <n v="253848"/>
        <n v="254220"/>
        <n v="254602"/>
        <n v="254854"/>
        <n v="255236"/>
        <n v="255438"/>
        <n v="255630"/>
        <n v="255833"/>
        <n v="256215"/>
        <n v="256427"/>
        <n v="256639"/>
        <n v="256831"/>
        <n v="257043"/>
        <n v="257255"/>
        <n v="257467"/>
        <n v="257679"/>
        <n v="258061"/>
        <n v="258443"/>
        <n v="258815"/>
        <n v="259027"/>
        <n v="259219"/>
        <n v="259431"/>
        <n v="259653"/>
        <n v="259845"/>
        <n v="260038"/>
        <n v="260420"/>
        <n v="260831"/>
        <n v="261213"/>
        <n v="261595"/>
        <n v="261847"/>
        <n v="262229"/>
        <n v="262431"/>
        <n v="262623"/>
        <n v="262835"/>
        <n v="263216"/>
        <n v="263428"/>
        <n v="263660"/>
        <n v="263852"/>
        <n v="264064"/>
        <n v="264285"/>
        <n v="264497"/>
        <n v="264709"/>
        <n v="265091"/>
        <n v="265473"/>
        <n v="265855"/>
        <n v="266067"/>
        <n v="266259"/>
        <n v="266501"/>
        <n v="266723"/>
        <n v="266934"/>
        <n v="267126"/>
        <n v="267508"/>
        <n v="267890"/>
        <n v="268272"/>
        <n v="268663"/>
        <n v="268915"/>
        <n v="269307"/>
        <n v="269509"/>
        <n v="269711"/>
        <n v="269933"/>
        <n v="270305"/>
        <n v="270517"/>
        <n v="270729"/>
        <n v="270922"/>
        <n v="271143"/>
        <n v="271345"/>
        <n v="271558"/>
        <n v="271770"/>
        <n v="272152"/>
        <n v="272534"/>
        <n v="272916"/>
        <n v="273128"/>
        <n v="273320"/>
        <n v="273532"/>
        <n v="273744"/>
        <n v="273936"/>
        <n v="274128"/>
        <n v="274500"/>
        <n v="274882"/>
        <n v="275264"/>
        <n v="275646"/>
        <n v="275898"/>
        <n v="276280"/>
        <n v="276472"/>
        <n v="276654"/>
        <n v="276866"/>
        <n v="277238"/>
        <n v="277450"/>
        <n v="277663"/>
        <n v="277855"/>
        <n v="278067"/>
        <n v="278279"/>
        <n v="278491"/>
        <n v="278703"/>
        <n v="279085"/>
        <n v="279467"/>
        <n v="279849"/>
        <n v="280061"/>
        <n v="280243"/>
        <n v="280445"/>
        <n v="280657"/>
        <n v="280850"/>
        <n v="281033"/>
        <n v="281415"/>
        <n v="281797"/>
        <n v="282179"/>
        <n v="282561"/>
        <n v="282823"/>
        <n v="283205"/>
        <n v="283407"/>
        <n v="283599"/>
        <n v="283802"/>
        <n v="284184"/>
        <n v="284396"/>
        <n v="284609"/>
        <n v="284801"/>
        <n v="285013"/>
        <n v="285225"/>
        <n v="285437"/>
        <n v="285649"/>
        <n v="286031"/>
        <n v="286413"/>
        <n v="286795"/>
        <n v="287007"/>
        <n v="287199"/>
        <n v="287411"/>
        <n v="287623"/>
        <n v="287805"/>
        <n v="287997"/>
        <n v="288379"/>
        <n v="288751"/>
        <n v="289133"/>
        <n v="289515"/>
        <n v="289767"/>
        <n v="290149"/>
        <n v="290351"/>
        <n v="290533"/>
        <n v="290735"/>
        <n v="291117"/>
        <n v="291329"/>
        <n v="291541"/>
        <n v="291743"/>
        <n v="291965"/>
        <n v="292177"/>
        <n v="292379"/>
        <n v="292591"/>
        <n v="292973"/>
        <n v="293355"/>
        <n v="293737"/>
        <n v="293949"/>
        <n v="294141"/>
        <n v="294353"/>
        <n v="294556"/>
        <n v="294749"/>
        <n v="294941"/>
        <n v="295313"/>
        <n v="295705"/>
        <n v="296087"/>
        <n v="296469"/>
        <n v="296721"/>
        <n v="297093"/>
        <n v="297285"/>
        <n v="297477"/>
        <n v="297699"/>
        <n v="298081"/>
        <n v="298303"/>
        <n v="298525"/>
        <n v="298727"/>
        <n v="298939"/>
        <n v="299151"/>
        <n v="299363"/>
        <n v="299575"/>
        <n v="299957"/>
        <n v="300339"/>
        <n v="300731"/>
        <n v="300943"/>
        <n v="301125"/>
        <n v="301337"/>
        <n v="301549"/>
        <n v="301751"/>
        <n v="301953"/>
        <n v="302335"/>
        <n v="302717"/>
        <n v="303099"/>
        <n v="303471"/>
        <n v="303723"/>
        <n v="304105"/>
        <n v="304307"/>
        <n v="304499"/>
        <n v="304711"/>
        <n v="305093"/>
        <n v="305305"/>
        <n v="305517"/>
        <n v="305709"/>
        <n v="305932"/>
        <n v="306144"/>
        <n v="306356"/>
        <n v="306568"/>
        <n v="306950"/>
        <n v="307332"/>
        <n v="307714"/>
        <n v="307946"/>
        <n v="308177"/>
        <n v="308389"/>
        <n v="308601"/>
        <n v="308784"/>
        <n v="308976"/>
        <n v="309358"/>
        <n v="309740"/>
        <n v="310112"/>
        <n v="310504"/>
        <n v="310756"/>
        <n v="311138"/>
        <n v="311340"/>
        <n v="311522"/>
        <n v="311734"/>
        <n v="312116"/>
        <n v="312349"/>
        <n v="312561"/>
        <n v="312743"/>
        <n v="312945"/>
        <n v="313167"/>
        <n v="313379"/>
        <n v="313591"/>
        <n v="313973"/>
        <n v="314355"/>
        <n v="314737"/>
        <n v="314949"/>
        <n v="315141"/>
        <n v="315354"/>
        <n v="315566"/>
        <n v="315757"/>
        <n v="315949"/>
        <n v="316331"/>
        <n v="316713"/>
        <n v="317095"/>
        <n v="317477"/>
        <n v="317729"/>
        <n v="318101"/>
        <n v="318303"/>
        <n v="318485"/>
        <n v="318697"/>
        <n v="319079"/>
        <n v="319291"/>
        <n v="319503"/>
        <n v="319695"/>
        <n v="319916"/>
        <n v="320128"/>
        <n v="320340"/>
        <n v="320552"/>
        <n v="320934"/>
        <n v="321316"/>
        <n v="321698"/>
        <n v="321910"/>
        <n v="322102"/>
        <n v="322314"/>
        <n v="322526"/>
        <n v="322718"/>
        <n v="322910"/>
        <n v="323292"/>
        <n v="323674"/>
        <n v="324056"/>
        <n v="324438"/>
        <n v="324700"/>
        <n v="325082"/>
        <n v="325274"/>
        <n v="325467"/>
        <n v="325679"/>
        <n v="326061"/>
        <n v="326273"/>
        <n v="326475"/>
        <n v="326667"/>
        <n v="326879"/>
        <n v="327091"/>
        <n v="327303"/>
        <n v="327515"/>
        <n v="327897"/>
        <n v="328279"/>
        <n v="328661"/>
        <n v="328873"/>
        <n v="329065"/>
        <n v="329277"/>
        <n v="329489"/>
        <n v="329681"/>
        <n v="329863"/>
        <n v="330235"/>
        <n v="330617"/>
        <n v="330999"/>
        <n v="331381"/>
        <n v="331633"/>
        <n v="332015"/>
        <n v="332227"/>
        <n v="332419"/>
        <n v="332631"/>
        <n v="333013"/>
        <n v="333225"/>
        <n v="333437"/>
        <n v="333629"/>
        <n v="333841"/>
        <n v="334043"/>
        <n v="334285"/>
        <n v="334497"/>
        <n v="334879"/>
        <n v="335261"/>
        <n v="335633"/>
        <n v="335846"/>
        <n v="336068"/>
        <n v="336300"/>
        <n v="336522"/>
        <n v="336734"/>
        <n v="336926"/>
        <n v="337308"/>
        <n v="337690"/>
        <n v="338072"/>
        <n v="338454"/>
        <n v="338706"/>
        <n v="339089"/>
        <n v="339301"/>
        <n v="339503"/>
        <n v="339715"/>
        <n v="340097"/>
        <n v="340318"/>
        <n v="340530"/>
        <n v="340722"/>
        <n v="340964"/>
        <n v="341165"/>
        <n v="341387"/>
        <n v="341609"/>
        <n v="341991"/>
        <n v="342373"/>
        <n v="342755"/>
        <n v="342967"/>
        <n v="343178"/>
        <n v="343390"/>
        <n v="343603"/>
        <n v="343785"/>
        <n v="343977"/>
        <n v="344359"/>
        <n v="344741"/>
        <n v="345123"/>
        <n v="345505"/>
        <n v="345757"/>
        <n v="346149"/>
        <n v="346351"/>
        <n v="346533"/>
        <n v="346745"/>
        <n v="347127"/>
        <n v="347339"/>
        <n v="347552"/>
        <n v="347744"/>
        <n v="347946"/>
        <n v="348159"/>
        <n v="348371"/>
        <n v="348583"/>
        <n v="348965"/>
        <n v="349347"/>
        <n v="349729"/>
        <n v="349941"/>
        <n v="350153"/>
        <n v="350355"/>
        <n v="350567"/>
        <n v="350759"/>
        <n v="350951"/>
        <n v="351334"/>
        <n v="351716"/>
        <n v="352098"/>
        <n v="352480"/>
        <n v="352732"/>
        <n v="353114"/>
        <n v="353316"/>
        <n v="353508"/>
        <n v="353720"/>
        <n v="354102"/>
        <n v="354314"/>
        <n v="354526"/>
        <n v="354718"/>
        <n v="354930"/>
        <n v="355142"/>
        <n v="355354"/>
        <n v="355566"/>
        <n v="355948"/>
        <n v="356330"/>
        <n v="356702"/>
        <n v="356914"/>
        <n v="357096"/>
        <n v="357308"/>
        <n v="357520"/>
        <n v="357712"/>
        <n v="357904"/>
        <n v="358276"/>
        <n v="358657"/>
        <n v="359039"/>
        <n v="359431"/>
        <n v="359693"/>
        <n v="360075"/>
        <n v="360277"/>
        <n v="360469"/>
        <n v="360681"/>
        <n v="361063"/>
        <n v="361275"/>
        <n v="361487"/>
        <n v="361679"/>
        <n v="361891"/>
        <n v="362103"/>
        <n v="362326"/>
        <n v="362538"/>
        <n v="362920"/>
        <n v="363302"/>
        <n v="363684"/>
        <n v="363886"/>
        <n v="364087"/>
        <n v="364299"/>
        <n v="364511"/>
        <n v="364693"/>
        <n v="364915"/>
        <n v="365297"/>
        <n v="365679"/>
        <n v="366061"/>
        <n v="366433"/>
        <n v="366685"/>
        <n v="367057"/>
        <n v="367259"/>
        <n v="367451"/>
        <n v="367663"/>
        <n v="368055"/>
        <n v="368267"/>
        <n v="368479"/>
        <n v="368671"/>
        <n v="368883"/>
        <n v="369096"/>
        <n v="369308"/>
        <n v="369520"/>
        <n v="369902"/>
        <n v="370284"/>
        <n v="370666"/>
        <n v="370868"/>
        <n v="371060"/>
        <n v="371272"/>
        <n v="371474"/>
        <n v="371656"/>
        <n v="371848"/>
        <n v="372230"/>
        <n v="372612"/>
        <n v="372994"/>
        <n v="373376"/>
        <n v="373638"/>
        <n v="374010"/>
        <n v="374212"/>
        <n v="374404"/>
        <n v="374616"/>
        <n v="374998"/>
        <n v="375210"/>
        <n v="375422"/>
        <n v="375614"/>
        <n v="375816"/>
        <n v="376028"/>
        <n v="376240"/>
        <n v="376453"/>
        <n v="376835"/>
        <n v="377217"/>
        <n v="377599"/>
        <n v="377811"/>
        <n v="378003"/>
        <n v="378215"/>
        <n v="378417"/>
        <n v="378609"/>
        <n v="378801"/>
        <n v="379183"/>
        <n v="379565"/>
        <n v="379957"/>
        <n v="380339"/>
        <n v="380591"/>
        <n v="380963"/>
        <n v="381155"/>
        <n v="381337"/>
        <n v="381559"/>
        <n v="381941"/>
        <n v="382153"/>
        <n v="382365"/>
        <n v="382557"/>
        <n v="382769"/>
        <n v="382981"/>
        <n v="383194"/>
        <n v="383406"/>
        <n v="383788"/>
        <n v="384170"/>
        <n v="384552"/>
        <n v="384754"/>
        <n v="384946"/>
        <n v="385158"/>
        <n v="385370"/>
        <n v="385562"/>
        <n v="385764"/>
        <n v="386146"/>
        <n v="386528"/>
        <n v="386910"/>
        <n v="387282"/>
        <n v="387544"/>
        <n v="387916"/>
        <n v="388118"/>
        <n v="388310"/>
        <n v="388522"/>
        <n v="388904"/>
        <n v="389106"/>
        <n v="389318"/>
        <n v="389510"/>
        <n v="389722"/>
        <n v="389934"/>
        <n v="390146"/>
        <n v="390358"/>
        <n v="390740"/>
        <n v="391122"/>
        <n v="391494"/>
        <n v="391706"/>
        <n v="391898"/>
        <n v="392110"/>
        <n v="392322"/>
        <n v="392504"/>
        <n v="392696"/>
        <n v="393068"/>
        <n v="393450"/>
        <n v="393832"/>
        <n v="394214"/>
        <n v="394466"/>
        <n v="394838"/>
        <n v="395040"/>
        <n v="395233"/>
        <n v="395445"/>
        <n v="395827"/>
        <n v="396039"/>
        <n v="396251"/>
        <n v="396453"/>
        <n v="396655"/>
        <n v="396857"/>
        <n v="397069"/>
        <n v="397281"/>
        <n v="397663"/>
        <n v="398035"/>
        <n v="398417"/>
        <n v="398629"/>
        <n v="398821"/>
        <n v="399033"/>
        <n v="399246"/>
        <n v="399438"/>
        <n v="399630"/>
        <n v="400002"/>
        <n v="400384"/>
        <n v="400756"/>
        <n v="401138"/>
        <n v="401390"/>
        <n v="401772"/>
        <n v="401974"/>
        <n v="402156"/>
        <n v="402378"/>
        <n v="402750"/>
        <n v="402962"/>
        <n v="403174"/>
        <n v="403366"/>
        <n v="403568"/>
        <n v="403780"/>
        <n v="403992"/>
        <n v="404204"/>
        <n v="404576"/>
        <n v="404958"/>
        <n v="405340"/>
        <n v="405552"/>
        <n v="405744"/>
        <n v="405956"/>
        <n v="406168"/>
        <n v="406360"/>
        <n v="406552"/>
        <n v="406924"/>
        <n v="407306"/>
        <n v="407688"/>
        <n v="408070"/>
        <n v="408323"/>
        <n v="408705"/>
        <n v="408907"/>
        <n v="409099"/>
        <n v="409311"/>
        <n v="409693"/>
        <n v="409895"/>
        <n v="410108"/>
        <n v="410300"/>
        <n v="410512"/>
        <n v="410724"/>
        <n v="410926"/>
        <n v="411138"/>
        <n v="411510"/>
        <n v="411892"/>
        <n v="412274"/>
        <n v="412486"/>
        <n v="412678"/>
        <n v="412890"/>
        <n v="413102"/>
        <n v="413305"/>
        <n v="413497"/>
        <n v="413879"/>
        <n v="414261"/>
        <n v="414643"/>
        <n v="415015"/>
        <n v="415277"/>
        <n v="415659"/>
        <n v="415861"/>
        <n v="416053"/>
        <n v="416275"/>
        <n v="416657"/>
        <n v="416869"/>
        <n v="417081"/>
        <n v="417273"/>
        <n v="417475"/>
        <n v="417697"/>
        <n v="417909"/>
        <n v="418121"/>
        <n v="418503"/>
        <n v="418885"/>
        <n v="419267"/>
        <n v="419479"/>
        <n v="419671"/>
        <n v="419893"/>
        <n v="420105"/>
        <n v="420287"/>
        <n v="420479"/>
        <n v="420861"/>
        <n v="421243"/>
        <n v="421624"/>
        <n v="422006"/>
        <n v="422268"/>
        <n v="422649"/>
        <n v="422851"/>
        <n v="423043"/>
        <n v="423245"/>
        <n v="423627"/>
        <n v="423849"/>
        <n v="424062"/>
        <n v="424244"/>
        <n v="424456"/>
        <n v="424678"/>
        <n v="424890"/>
        <n v="425103"/>
        <n v="425485"/>
        <n v="425867"/>
        <n v="426249"/>
        <n v="426461"/>
        <n v="426653"/>
        <n v="426865"/>
        <n v="427077"/>
        <n v="427269"/>
        <n v="427461"/>
        <n v="427843"/>
        <n v="428225"/>
        <n v="428607"/>
        <n v="428989"/>
        <n v="429241"/>
        <n v="429614"/>
        <n v="429866"/>
        <n v="430058"/>
        <n v="430271"/>
        <n v="430643"/>
        <n v="430855"/>
        <n v="431067"/>
        <n v="431259"/>
        <n v="431471"/>
        <n v="431683"/>
        <n v="431895"/>
        <n v="432098"/>
        <n v="432479"/>
        <n v="432861"/>
        <n v="433243"/>
        <n v="433485"/>
        <n v="433667"/>
        <n v="433889"/>
        <n v="434101"/>
        <n v="434294"/>
        <n v="434496"/>
        <n v="434878"/>
        <n v="435260"/>
        <n v="435642"/>
        <n v="436024"/>
        <n v="436276"/>
        <n v="436658"/>
        <n v="436860"/>
        <n v="437052"/>
        <n v="437274"/>
        <n v="437656"/>
        <n v="437878"/>
        <n v="438101"/>
        <n v="438293"/>
        <n v="438515"/>
        <n v="438717"/>
        <n v="438929"/>
        <n v="439143"/>
        <n v="439525"/>
        <n v="439907"/>
        <n v="440289"/>
        <n v="440501"/>
        <n v="440693"/>
        <n v="440905"/>
        <n v="441117"/>
        <n v="441309"/>
        <n v="441501"/>
        <n v="441883"/>
        <n v="442255"/>
        <n v="442637"/>
        <n v="443039"/>
        <n v="443291"/>
        <n v="443673"/>
        <n v="443875"/>
        <n v="444057"/>
        <n v="444269"/>
        <n v="444651"/>
        <n v="444863"/>
        <n v="445075"/>
        <n v="445257"/>
        <n v="445469"/>
        <n v="445681"/>
        <n v="445893"/>
        <n v="446105"/>
        <n v="446487"/>
        <n v="446869"/>
        <n v="447241"/>
        <n v="447453"/>
        <n v="447645"/>
        <n v="447857"/>
        <n v="448069"/>
        <n v="448261"/>
        <n v="448453"/>
        <n v="448835"/>
        <n v="449216"/>
        <n v="449598"/>
        <n v="449980"/>
        <n v="450232"/>
        <n v="450615"/>
        <n v="450807"/>
        <n v="451000"/>
        <n v="451212"/>
        <n v="451594"/>
        <n v="451806"/>
        <n v="452018"/>
        <n v="452220"/>
        <n v="452452"/>
        <n v="452664"/>
        <n v="452876"/>
        <n v="453088"/>
        <n v="453470"/>
        <n v="453852"/>
        <n v="454234"/>
        <n v="454446"/>
        <n v="454638"/>
        <n v="454850"/>
        <n v="455071"/>
        <n v="455273"/>
        <n v="455465"/>
        <n v="455847"/>
        <n v="456229"/>
        <n v="456611"/>
        <n v="456993"/>
        <n v="457245"/>
        <n v="457627"/>
        <n v="457829"/>
        <n v="458021"/>
        <n v="458233"/>
        <n v="458615"/>
        <n v="458837"/>
        <n v="459059"/>
        <n v="459251"/>
        <n v="459463"/>
        <n v="459675"/>
        <n v="459898"/>
        <n v="460109"/>
        <n v="460490"/>
        <n v="460862"/>
        <n v="461293"/>
        <n v="461505"/>
        <n v="461697"/>
        <n v="461909"/>
        <n v="462121"/>
        <n v="462313"/>
        <n v="462505"/>
        <n v="462887"/>
        <n v="463259"/>
        <n v="463641"/>
        <n v="464023"/>
        <n v="464275"/>
        <n v="464657"/>
        <n v="464869"/>
        <n v="465070"/>
        <n v="465302"/>
        <n v="465685"/>
        <n v="465897"/>
        <n v="466109"/>
        <n v="466302"/>
        <n v="466515"/>
        <n v="466727"/>
        <n v="466949"/>
        <n v="467161"/>
        <n v="467543"/>
        <n v="467925"/>
        <n v="468307"/>
        <n v="468529"/>
        <n v="468791"/>
        <n v="469014"/>
        <n v="469236"/>
        <n v="469428"/>
        <n v="469620"/>
        <n v="470022"/>
        <n v="470404"/>
        <n v="470796"/>
        <n v="471218"/>
        <n v="471470"/>
        <n v="471842"/>
        <n v="472044"/>
        <n v="472255"/>
        <n v="472467"/>
        <n v="472839"/>
        <n v="473051"/>
        <n v="473263"/>
        <n v="473455"/>
        <n v="473676"/>
        <n v="473888"/>
        <n v="474101"/>
        <n v="474313"/>
        <n v="474695"/>
        <n v="475087"/>
        <n v="475488"/>
        <n v="475700"/>
        <n v="475892"/>
        <n v="476105"/>
        <n v="476307"/>
        <n v="476499"/>
        <n v="476691"/>
        <n v="477073"/>
        <n v="477455"/>
        <n v="477837"/>
        <n v="478219"/>
        <n v="478471"/>
        <n v="478913"/>
        <n v="479135"/>
        <n v="479327"/>
        <n v="479539"/>
        <n v="479921"/>
        <n v="480133"/>
        <n v="480347"/>
        <n v="480539"/>
        <n v="480751"/>
        <n v="480964"/>
        <n v="481176"/>
        <n v="481378"/>
        <n v="481750"/>
        <n v="482132"/>
        <n v="482514"/>
        <n v="482726"/>
        <n v="482918"/>
        <n v="483129"/>
        <n v="483341"/>
        <n v="483533"/>
        <n v="483725"/>
        <n v="484107"/>
        <n v="484489"/>
        <n v="484871"/>
        <n v="485253"/>
        <n v="485505"/>
        <n v="485887"/>
        <n v="486079"/>
        <n v="486271"/>
        <n v="486483"/>
        <n v="486865"/>
        <n v="487068"/>
        <n v="487280"/>
        <n v="487472"/>
        <n v="487684"/>
        <n v="487906"/>
        <n v="488117"/>
        <n v="488319"/>
        <n v="488691"/>
        <n v="489073"/>
        <n v="489445"/>
        <n v="489657"/>
        <n v="489849"/>
        <n v="490061"/>
        <n v="490273"/>
        <n v="490465"/>
        <n v="490657"/>
        <n v="491029"/>
        <n v="491411"/>
        <n v="491793"/>
        <n v="492165"/>
        <n v="492417"/>
        <n v="492789"/>
        <n v="492991"/>
        <n v="493183"/>
        <n v="493395"/>
        <n v="493777"/>
        <n v="493979"/>
        <n v="494191"/>
        <n v="494383"/>
        <n v="494596"/>
        <n v="494808"/>
        <n v="495020"/>
        <n v="495232"/>
        <n v="495604"/>
        <n v="495976"/>
        <n v="496358"/>
        <n v="496580"/>
        <n v="496772"/>
        <n v="496984"/>
        <n v="497196"/>
        <n v="497378"/>
        <n v="497570"/>
        <n v="497942"/>
        <n v="498324"/>
        <n v="498706"/>
        <n v="499088"/>
        <n v="499350"/>
        <n v="499723"/>
        <n v="499935"/>
        <n v="500117"/>
        <n v="500319"/>
        <n v="500701"/>
        <n v="500913"/>
        <n v="501125"/>
        <n v="501317"/>
        <n v="501520"/>
        <n v="501732"/>
        <n v="501944"/>
        <n v="502157"/>
        <n v="502529"/>
        <n v="502911"/>
        <n v="503293"/>
        <n v="503505"/>
        <n v="503698"/>
        <n v="503910"/>
        <n v="504122"/>
        <n v="504314"/>
        <n v="504508"/>
        <n v="504880"/>
        <n v="505252"/>
        <n v="505634"/>
        <n v="506035"/>
        <n v="506287"/>
        <n v="506669"/>
        <n v="506871"/>
        <n v="507063"/>
        <n v="507275"/>
        <n v="507657"/>
        <n v="507869"/>
        <n v="508081"/>
        <n v="508272"/>
        <n v="508494"/>
        <n v="508697"/>
        <n v="508910"/>
        <n v="509122"/>
        <n v="509494"/>
        <n v="509876"/>
        <n v="510268"/>
        <n v="510490"/>
        <n v="510682"/>
        <n v="510914"/>
        <n v="511126"/>
        <n v="511318"/>
        <n v="511510"/>
        <n v="511892"/>
        <n v="512274"/>
        <n v="512656"/>
        <n v="513038"/>
        <n v="513300"/>
        <n v="513682"/>
        <n v="513884"/>
        <n v="514076"/>
        <n v="514288"/>
        <n v="514670"/>
        <n v="514882"/>
        <n v="515114"/>
        <n v="515306"/>
        <n v="515528"/>
        <n v="515740"/>
        <n v="515952"/>
        <n v="516164"/>
        <n v="516546"/>
        <n v="516928"/>
        <n v="517300"/>
        <n v="517512"/>
        <n v="517704"/>
        <n v="517916"/>
        <n v="518128"/>
        <n v="518321"/>
        <n v="518513"/>
        <n v="518895"/>
        <n v="519277"/>
        <n v="519659"/>
        <n v="520042"/>
        <n v="520294"/>
        <n v="520676"/>
        <n v="520889"/>
        <n v="521081"/>
        <n v="521293"/>
        <n v="521675"/>
        <n v="521877"/>
        <n v="522089"/>
        <n v="522281"/>
        <n v="522493"/>
        <n v="522705"/>
        <n v="522917"/>
        <n v="523129"/>
        <n v="523511"/>
        <n v="523893"/>
        <n v="524275"/>
        <n v="524477"/>
        <n v="524659"/>
        <n v="524891"/>
        <n v="525103"/>
        <n v="525296"/>
        <n v="525478"/>
        <n v="525850"/>
        <n v="526242"/>
        <n v="526624"/>
        <n v="527006"/>
        <n v="527259"/>
        <n v="527641"/>
        <n v="527843"/>
        <n v="528034"/>
        <n v="528256"/>
        <n v="528638"/>
        <n v="528850"/>
        <n v="529063"/>
        <n v="529255"/>
        <n v="529467"/>
        <n v="529669"/>
        <n v="529881"/>
        <n v="530103"/>
        <n v="530486"/>
        <n v="530878"/>
        <n v="531260"/>
        <n v="531472"/>
        <n v="531674"/>
        <n v="531896"/>
        <n v="532109"/>
        <n v="532301"/>
        <n v="532503"/>
        <n v="532895"/>
        <n v="533267"/>
        <n v="533649"/>
        <n v="534031"/>
        <n v="534283"/>
        <n v="534665"/>
        <n v="534887"/>
        <n v="535089"/>
        <n v="535301"/>
        <n v="535673"/>
        <n v="535885"/>
        <n v="536099"/>
        <n v="536291"/>
        <n v="536513"/>
        <n v="536755"/>
        <n v="536967"/>
        <n v="537179"/>
        <n v="537561"/>
        <n v="537943"/>
        <n v="538325"/>
        <n v="538527"/>
        <n v="538759"/>
        <n v="538971"/>
        <n v="539183"/>
        <n v="539375"/>
        <n v="539567"/>
        <n v="539959"/>
        <n v="540341"/>
        <n v="540732"/>
        <n v="541114"/>
        <n v="541376"/>
        <n v="541758"/>
        <n v="541960"/>
        <n v="542153"/>
        <n v="542365"/>
        <n v="542737"/>
        <n v="542949"/>
        <n v="543161"/>
        <n v="543354"/>
        <n v="545365"/>
        <n v="547376"/>
        <n v="549387"/>
      </sharedItems>
    </cacheField>
    <cacheField name="sensor" numFmtId="0">
      <sharedItems count="26">
        <s v="OilTemp"/>
        <s v="CoolantTemp"/>
        <s v="AmbientPressure"/>
        <s v="Range"/>
        <s v="BoostPressure"/>
        <s v="EngineSpeed"/>
        <s v="Gear"/>
        <s v="BatteryVoltage"/>
        <s v="OilPressure"/>
        <s v="LambdaSetpoint"/>
        <s v="LambdaActual"/>
        <s v="Speed"/>
        <s v="AccelLongitudinal"/>
        <s v="AccelLateral"/>
        <s v="FuelRailPress(Filtered)"/>
        <s v="BrakePressure"/>
        <s v="TripTime"/>
        <s v="MAP"/>
        <s v="IAT"/>
        <s v="AirMassFlow"/>
        <s v="FuelFlowRate"/>
        <s v="FuelCons"/>
        <s v="FuelCons_Regulated"/>
        <s v="FuelMassHomogeneousCyl0"/>
        <s v="FuelConsSinceOilChange"/>
        <s v="FuelCorrection"/>
      </sharedItems>
    </cacheField>
    <cacheField name="service" numFmtId="0">
      <sharedItems/>
    </cacheField>
    <cacheField name="PID" numFmtId="0">
      <sharedItems/>
    </cacheField>
    <cacheField name="raw_value" numFmtId="0">
      <sharedItems containsMixedTypes="1" containsNumber="1" containsInteger="1" minValue="1" maxValue="65536"/>
    </cacheField>
    <cacheField name="proc_value" numFmtId="0">
      <sharedItems containsMixedTypes="1" containsNumber="1" minValue="0" maxValue="5034" count="550">
        <n v="102"/>
        <n v="102.75"/>
        <n v="1011.8"/>
        <s v="N/A"/>
        <n v="1006.02"/>
        <n v="721.25"/>
        <n v="1"/>
        <n v="12.09"/>
        <n v="2965"/>
        <n v="0.99"/>
        <n v="4.7"/>
        <n v="8.4"/>
        <n v="936.91"/>
        <n v="38.25"/>
        <n v="8"/>
        <n v="3.24"/>
        <n v="96"/>
        <n v="1006.09"/>
        <n v="648.25"/>
        <n v="12.87"/>
        <n v="2648"/>
        <n v="0"/>
        <n v="1.03"/>
        <n v="4.5199999999999996"/>
        <n v="15.5"/>
        <n v="962.15"/>
        <n v="36.75"/>
        <n v="12"/>
        <n v="3.25"/>
        <n v="91.5"/>
        <n v="1008.75"/>
        <n v="738.75"/>
        <n v="14.39"/>
        <n v="2699"/>
        <n v="0.94"/>
        <n v="0.93"/>
        <n v="5.6"/>
        <n v="22.5"/>
        <n v="961.52"/>
        <n v="35.25"/>
        <n v="93.75"/>
        <n v="1004.77"/>
        <n v="852.25"/>
        <n v="2"/>
        <n v="2871"/>
        <n v="1.01"/>
        <n v="4.78"/>
        <n v="29.5"/>
        <n v="956.64"/>
        <n v="34.5"/>
        <n v="95.25"/>
        <n v="697.25"/>
        <n v="14.16"/>
        <n v="2745"/>
        <n v="5.26"/>
        <n v="36.6"/>
        <n v="952.03"/>
        <n v="96.75"/>
        <n v="1009.77"/>
        <n v="819.25"/>
        <n v="14.35"/>
        <n v="2781"/>
        <n v="5.76"/>
        <n v="43.7"/>
        <n v="955.66"/>
        <n v="33.75"/>
        <n v="16"/>
        <n v="101"/>
        <n v="98.25"/>
        <n v="1004.45"/>
        <n v="1395.75"/>
        <n v="14.21"/>
        <n v="2803"/>
        <n v="1.4"/>
        <n v="1.32"/>
        <n v="5.09"/>
        <n v="50.7"/>
        <n v="957.38"/>
        <n v="33"/>
        <n v="36"/>
        <n v="3.26"/>
        <n v="99"/>
        <n v="1008.83"/>
        <n v="1448.75"/>
        <n v="4"/>
        <n v="14.11"/>
        <n v="3204"/>
        <n v="0.88"/>
        <n v="4.95"/>
        <n v="57.7"/>
        <n v="980.39"/>
        <n v="32.25"/>
        <n v="100.5"/>
        <n v="1022.89"/>
        <n v="1703.25"/>
        <n v="3"/>
        <n v="14.14"/>
        <n v="3660"/>
        <n v="0.91"/>
        <n v="0.92"/>
        <n v="5.78"/>
        <n v="64.599999999999994"/>
        <n v="960.78"/>
        <n v="31.5"/>
        <n v="3.27"/>
        <n v="1014.45"/>
        <n v="986.25"/>
        <n v="2961"/>
        <n v="0.95"/>
        <n v="6.05"/>
        <n v="71.599999999999994"/>
        <n v="956.76"/>
        <n v="30.75"/>
        <n v="60"/>
        <n v="1035.78"/>
        <n v="2159.25"/>
        <n v="2909"/>
        <n v="5.23"/>
        <n v="78.7"/>
        <n v="957.66"/>
        <n v="29.25"/>
        <n v="103.5"/>
        <n v="1018.36"/>
        <n v="903.25"/>
        <n v="3069"/>
        <n v="5.48"/>
        <n v="85.7"/>
        <n v="934.14"/>
        <n v="3.28"/>
        <n v="104.25"/>
        <n v="1036.72"/>
        <n v="2127.75"/>
        <n v="2839"/>
        <n v="0.97"/>
        <n v="5.2"/>
        <n v="92.9"/>
        <n v="956.52"/>
        <n v="27.75"/>
        <n v="105"/>
        <n v="1010"/>
        <n v="931.75"/>
        <n v="14.09"/>
        <n v="2921"/>
        <n v="0.9"/>
        <n v="0.89"/>
        <n v="7.16"/>
        <n v="99.8"/>
        <n v="954.41"/>
        <n v="24"/>
        <n v="3.29"/>
        <n v="105.75"/>
        <n v="1017.89"/>
        <n v="1029.75"/>
        <n v="1.0900000000000001"/>
        <n v="0.96"/>
        <n v="107"/>
        <n v="996.76"/>
        <n v="56"/>
        <n v="1025.7"/>
        <n v="1467.75"/>
        <n v="2883"/>
        <n v="2.11"/>
        <n v="2.14"/>
        <n v="5.5"/>
        <n v="114"/>
        <n v="954.53"/>
        <n v="40"/>
        <n v="3.3"/>
        <n v="1049.06"/>
        <n v="1913.75"/>
        <n v="3034"/>
        <n v="3.32"/>
        <n v="7.61"/>
        <n v="121"/>
        <n v="957.27"/>
        <n v="27"/>
        <n v="1057.6600000000001"/>
        <n v="1626.75"/>
        <n v="3163"/>
        <n v="1.87"/>
        <n v="128"/>
        <n v="955.39"/>
        <n v="20"/>
        <n v="3.31"/>
        <n v="1014.69"/>
        <n v="1541.75"/>
        <n v="2744"/>
        <n v="5.19"/>
        <n v="135"/>
        <n v="953.63"/>
        <n v="1010.23"/>
        <n v="2570"/>
        <n v="5.89"/>
        <n v="141.9"/>
        <n v="103"/>
        <n v="1028.52"/>
        <n v="1922.25"/>
        <n v="2970"/>
        <n v="5.62"/>
        <n v="148.9"/>
        <n v="947.03"/>
        <n v="26.25"/>
        <n v="1022.27"/>
        <n v="1427.75"/>
        <n v="2918"/>
        <n v="15.94"/>
        <n v="155.80000000000001"/>
        <n v="961.02"/>
        <n v="1013.05"/>
        <n v="1038.3599999999999"/>
        <n v="1998.25"/>
        <n v="2891"/>
        <n v="5.3"/>
        <n v="162.80000000000001"/>
        <n v="959.53"/>
        <n v="1014.26"/>
        <n v="1048.52"/>
        <n v="2489.75"/>
        <n v="2993"/>
        <n v="5.56"/>
        <n v="169.7"/>
        <n v="25.5"/>
        <n v="1015.51"/>
        <n v="1045.7"/>
        <n v="2114.25"/>
        <n v="3018"/>
        <n v="5.35"/>
        <n v="9"/>
        <n v="176.7"/>
        <n v="960.27"/>
        <n v="24.75"/>
        <n v="1016.76"/>
        <n v="1031.56"/>
        <n v="1422.25"/>
        <n v="3020"/>
        <n v="4.92"/>
        <n v="183.6"/>
        <n v="955.9"/>
        <n v="829.25"/>
        <n v="2944"/>
        <n v="5"/>
        <n v="7"/>
        <n v="190.6"/>
        <n v="1011.48"/>
        <n v="798.75"/>
        <n v="14.04"/>
        <n v="3121"/>
        <n v="5.24"/>
        <n v="197.5"/>
        <n v="960.51"/>
        <n v="1012.5"/>
        <n v="833.75"/>
        <n v="14.18"/>
        <n v="2660"/>
        <n v="204.5"/>
        <n v="1017.97"/>
        <n v="1206.75"/>
        <n v="3530"/>
        <n v="1.07"/>
        <n v="1.05"/>
        <n v="5.0199999999999996"/>
        <n v="211.4"/>
        <n v="973.91"/>
        <n v="1034.06"/>
        <n v="1736.75"/>
        <n v="2905"/>
        <n v="4.96"/>
        <n v="218.4"/>
        <n v="981.13"/>
        <n v="1019.22"/>
        <n v="1984.75"/>
        <n v="3507"/>
        <n v="1.1299999999999999"/>
        <n v="9.43"/>
        <n v="225.4"/>
        <n v="990.51"/>
        <n v="88"/>
        <n v="3.33"/>
        <n v="1050.94"/>
        <n v="1862.75"/>
        <n v="2868"/>
        <n v="0.98"/>
        <n v="5.27"/>
        <n v="232.4"/>
        <n v="965.78"/>
        <n v="23.25"/>
        <n v="84"/>
        <n v="1043.5899999999999"/>
        <n v="1910.75"/>
        <n v="1.04"/>
        <n v="1.02"/>
        <n v="6.96"/>
        <n v="239.5"/>
        <n v="966.13"/>
        <n v="28"/>
        <n v="3.34"/>
        <n v="1033.52"/>
        <n v="2044.25"/>
        <n v="3206"/>
        <n v="5.28"/>
        <n v="246.4"/>
        <n v="972.54"/>
        <n v="1031.25"/>
        <n v="1903.75"/>
        <n v="3086"/>
        <n v="1.35"/>
        <n v="2.91"/>
        <n v="5.04"/>
        <n v="253.3"/>
        <n v="965.39"/>
        <n v="4.0599999999999996"/>
        <n v="899.75"/>
        <n v="2605"/>
        <n v="7.07"/>
        <n v="260.3"/>
        <n v="962.27"/>
        <n v="3.35"/>
        <n v="1062.19"/>
        <n v="2186.25"/>
        <n v="2903"/>
        <n v="6.52"/>
        <n v="267.3"/>
        <n v="973.28"/>
        <n v="1020.47"/>
        <n v="1042.5"/>
        <n v="2335.75"/>
        <n v="2876"/>
        <n v="11.8"/>
        <n v="274.3"/>
        <n v="967.27"/>
        <n v="1082.25"/>
        <n v="14.07"/>
        <n v="2849"/>
        <n v="5.12"/>
        <n v="281.3"/>
        <n v="966.02"/>
        <n v="3.36"/>
        <n v="1070"/>
        <n v="1648.75"/>
        <n v="4679"/>
        <n v="11.07"/>
        <n v="288.2"/>
        <n v="1895.9"/>
        <n v="3.39"/>
        <n v="104"/>
        <n v="1076.17"/>
        <n v="3062.75"/>
        <n v="3350"/>
        <n v="0.06"/>
        <n v="2.65"/>
        <n v="295.2"/>
        <n v="995.16"/>
        <n v="1055"/>
        <n v="2243.25"/>
        <n v="2714"/>
        <n v="2.82"/>
        <n v="5.59"/>
        <n v="6"/>
        <n v="302.2"/>
        <n v="971.64"/>
        <n v="94.5"/>
        <n v="1305"/>
        <n v="2947.25"/>
        <n v="3809"/>
        <n v="11.64"/>
        <n v="309.3"/>
        <n v="3.42"/>
        <n v="97.5"/>
        <n v="1070.6199999999999"/>
        <n v="2771.75"/>
        <n v="3190"/>
        <n v="316.3"/>
        <n v="974.02"/>
        <n v="3.43"/>
        <n v="99.75"/>
        <n v="1039.69"/>
        <n v="2670.25"/>
        <n v="3610"/>
        <n v="1.22"/>
        <n v="9.8699999999999992"/>
        <n v="323.2"/>
        <n v="1744.65"/>
        <n v="372"/>
        <n v="3.45"/>
        <n v="1059.92"/>
        <n v="2888.25"/>
        <n v="4370"/>
        <n v="1.1000000000000001"/>
        <n v="6.38"/>
        <n v="330.2"/>
        <n v="968.16"/>
        <n v="3.47"/>
        <n v="1053.75"/>
        <n v="2418.75"/>
        <n v="4115"/>
        <n v="8.73"/>
        <n v="337.2"/>
        <n v="966.64"/>
        <n v="3.48"/>
        <n v="1046.0899999999999"/>
        <n v="2758.25"/>
        <n v="14.23"/>
        <n v="2988"/>
        <n v="11"/>
        <n v="344.1"/>
        <n v="1101.4100000000001"/>
        <n v="188"/>
        <n v="3.5"/>
        <n v="1816.33"/>
        <n v="3905.75"/>
        <n v="5034"/>
        <n v="3.85"/>
        <n v="351.1"/>
        <n v="961.13"/>
        <n v="32"/>
        <n v="3.53"/>
        <n v="101.25"/>
        <n v="1083.67"/>
        <n v="2583.25"/>
        <n v="3145"/>
        <n v="8.56"/>
        <n v="358"/>
        <n v="3.54"/>
        <n v="1035"/>
        <n v="1904.75"/>
        <n v="2992"/>
        <n v="7.03"/>
        <n v="365"/>
        <n v="952.66"/>
        <n v="3.55"/>
        <n v="1615.25"/>
        <n v="3053"/>
        <n v="5.03"/>
        <n v="371.9"/>
        <n v="954.02"/>
        <n v="1011.64"/>
        <n v="1021.25"/>
        <n v="3021"/>
        <n v="8.85"/>
        <n v="378.8"/>
        <n v="3.56"/>
        <n v="1623.75"/>
        <n v="3912"/>
        <n v="6.06"/>
        <n v="385.8"/>
        <n v="974.53"/>
        <n v="21.75"/>
        <n v="3.57"/>
        <n v="1335.25"/>
        <n v="2694"/>
        <n v="13"/>
        <n v="4.41"/>
        <n v="392.8"/>
        <n v="956.91"/>
        <n v="1021.02"/>
        <n v="1165.75"/>
        <n v="3773"/>
        <n v="399.8"/>
        <n v="927.77"/>
        <n v="80"/>
        <n v="3.58"/>
        <n v="1047.27"/>
        <n v="1818.75"/>
        <n v="15.06"/>
        <n v="4.9800000000000004"/>
        <n v="406.8"/>
        <n v="938.63"/>
        <n v="1547.75"/>
        <n v="3520"/>
        <n v="6.39"/>
        <n v="413.8"/>
        <n v="968.91"/>
        <n v="21"/>
        <n v="3.59"/>
        <n v="1017.42"/>
        <n v="945.25"/>
        <n v="2795"/>
        <n v="420.8"/>
        <n v="947.89"/>
        <n v="1944.75"/>
        <n v="3123"/>
        <n v="5.44"/>
        <n v="427.8"/>
        <n v="1076.75"/>
        <n v="6.24"/>
        <n v="434.9"/>
        <n v="953.4"/>
        <n v="3.6"/>
        <n v="1583.75"/>
        <n v="2814"/>
        <n v="5.36"/>
        <n v="442"/>
        <n v="957.77"/>
        <n v="1017.5"/>
        <n v="1601.75"/>
        <n v="3176"/>
        <n v="0.87"/>
        <n v="5.38"/>
        <n v="449.1"/>
        <n v="953.91"/>
        <n v="20.25"/>
        <n v="1010.08"/>
        <n v="1077.75"/>
        <n v="3074"/>
        <n v="0.86"/>
        <n v="5.87"/>
        <n v="456"/>
        <n v="959.77"/>
        <n v="3.61"/>
        <n v="1019.84"/>
        <n v="1675.75"/>
        <n v="2679"/>
        <n v="7.52"/>
        <n v="462.9"/>
        <n v="2622"/>
        <n v="4.7699999999999996"/>
        <n v="469.8"/>
        <n v="947.77"/>
        <n v="3.62"/>
        <n v="1263.75"/>
        <n v="2948"/>
        <n v="5.15"/>
        <n v="476.8"/>
        <n v="961.76"/>
        <n v="1303.75"/>
        <n v="4.9400000000000004"/>
        <n v="483.8"/>
        <n v="931.52"/>
        <n v="999.3"/>
        <n v="1624.25"/>
        <n v="13.97"/>
        <n v="3381"/>
        <n v="5.37"/>
        <n v="490.8"/>
        <n v="946.91"/>
        <n v="1007.89"/>
        <n v="828.25"/>
        <n v="2759"/>
        <n v="497.8"/>
        <n v="936.41"/>
        <n v="106.5"/>
        <n v="1005.62"/>
        <n v="663.75"/>
        <n v="2710"/>
        <n v="5.17"/>
        <n v="504.9"/>
        <n v="940.39"/>
        <n v="3.63"/>
        <n v="1005.55"/>
        <n v="682.75"/>
      </sharedItems>
    </cacheField>
    <cacheField name="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2">
  <r>
    <x v="0"/>
    <x v="0"/>
    <s v="0x22"/>
    <s v="0x5822"/>
    <n v="162"/>
    <x v="0"/>
    <s v="degC"/>
  </r>
  <r>
    <x v="1"/>
    <x v="1"/>
    <s v="0x22"/>
    <s v="0x4300"/>
    <n v="201"/>
    <x v="1"/>
    <s v="degC"/>
  </r>
  <r>
    <x v="2"/>
    <x v="2"/>
    <s v="0x22"/>
    <s v="0x5834"/>
    <n v="25902"/>
    <x v="2"/>
    <s v="hPa"/>
  </r>
  <r>
    <x v="3"/>
    <x v="3"/>
    <s v="0x22"/>
    <s v="0x4411"/>
    <s v="N/A"/>
    <x v="3"/>
    <s v="N/A"/>
  </r>
  <r>
    <x v="4"/>
    <x v="4"/>
    <s v="0x22"/>
    <s v="0x4205"/>
    <n v="12877"/>
    <x v="4"/>
    <s v="hPa"/>
  </r>
  <r>
    <x v="5"/>
    <x v="5"/>
    <s v="0x22"/>
    <s v="0x4807"/>
    <n v="2885"/>
    <x v="5"/>
    <s v="rpm"/>
  </r>
  <r>
    <x v="6"/>
    <x v="6"/>
    <s v="0x22"/>
    <s v="0x5881"/>
    <n v="1"/>
    <x v="6"/>
    <s v="-"/>
  </r>
  <r>
    <x v="7"/>
    <x v="7"/>
    <s v="0x22"/>
    <s v="0x460c"/>
    <n v="515"/>
    <x v="7"/>
    <s v="V"/>
  </r>
  <r>
    <x v="8"/>
    <x v="8"/>
    <s v="0x22"/>
    <s v="0x586f"/>
    <n v="2965"/>
    <x v="8"/>
    <s v="hPa"/>
  </r>
  <r>
    <x v="9"/>
    <x v="9"/>
    <s v="0x22"/>
    <s v="0x5816"/>
    <n v="4096"/>
    <x v="6"/>
    <s v="-"/>
  </r>
  <r>
    <x v="10"/>
    <x v="10"/>
    <s v="0x22"/>
    <s v="0x5889"/>
    <n v="4057"/>
    <x v="9"/>
    <s v="-"/>
  </r>
  <r>
    <x v="11"/>
    <x v="11"/>
    <s v="0x22"/>
    <s v="0x4ab1"/>
    <s v="N/A"/>
    <x v="3"/>
    <s v="N/A"/>
  </r>
  <r>
    <x v="12"/>
    <x v="12"/>
    <s v="0x22"/>
    <s v="0x4811"/>
    <s v="N/A"/>
    <x v="3"/>
    <s v="N/A"/>
  </r>
  <r>
    <x v="13"/>
    <x v="13"/>
    <s v="0x22"/>
    <s v="0x4812"/>
    <s v="N/A"/>
    <x v="3"/>
    <s v="N/A"/>
  </r>
  <r>
    <x v="14"/>
    <x v="14"/>
    <s v="0x22"/>
    <s v="0x58ef"/>
    <n v="9398"/>
    <x v="10"/>
    <s v="MPa"/>
  </r>
  <r>
    <x v="15"/>
    <x v="15"/>
    <s v="0x22"/>
    <s v="0x58b7"/>
    <n v="1"/>
    <x v="6"/>
    <s v="hPa"/>
  </r>
  <r>
    <x v="16"/>
    <x v="16"/>
    <s v="0x22"/>
    <s v="0x5800"/>
    <n v="84"/>
    <x v="11"/>
    <s v="s"/>
  </r>
  <r>
    <x v="17"/>
    <x v="17"/>
    <s v="0x22"/>
    <s v="0x580b"/>
    <n v="23985"/>
    <x v="12"/>
    <s v="hPa"/>
  </r>
  <r>
    <x v="18"/>
    <x v="18"/>
    <s v="0x22"/>
    <s v="0x580f"/>
    <n v="115"/>
    <x v="13"/>
    <s v="degC"/>
  </r>
  <r>
    <x v="19"/>
    <x v="19"/>
    <s v="0x22"/>
    <s v="0x5818"/>
    <n v="2"/>
    <x v="14"/>
    <s v="kg/hr"/>
  </r>
  <r>
    <x v="20"/>
    <x v="20"/>
    <s v="0x22"/>
    <s v="0x4521"/>
    <s v="N/A"/>
    <x v="3"/>
    <s v="N/A"/>
  </r>
  <r>
    <x v="21"/>
    <x v="21"/>
    <s v="0x22"/>
    <s v="0x4abf"/>
    <s v="N/A"/>
    <x v="3"/>
    <s v="N/A"/>
  </r>
  <r>
    <x v="22"/>
    <x v="22"/>
    <s v="0x22"/>
    <s v="0x4ac0"/>
    <s v="N/A"/>
    <x v="3"/>
    <s v="N/A"/>
  </r>
  <r>
    <x v="23"/>
    <x v="23"/>
    <s v="0x22"/>
    <s v="0x4522"/>
    <s v="N/A"/>
    <x v="3"/>
    <s v="N/A"/>
  </r>
  <r>
    <x v="24"/>
    <x v="24"/>
    <s v="0x22"/>
    <s v="0x4403"/>
    <n v="26575"/>
    <x v="15"/>
    <s v="L?"/>
  </r>
  <r>
    <x v="25"/>
    <x v="25"/>
    <s v="0x22"/>
    <s v="0x4a6c"/>
    <s v="N/A"/>
    <x v="3"/>
    <s v="N/A"/>
  </r>
  <r>
    <x v="26"/>
    <x v="0"/>
    <s v="0x22"/>
    <s v="0x5822"/>
    <n v="162"/>
    <x v="0"/>
    <s v="degC"/>
  </r>
  <r>
    <x v="27"/>
    <x v="1"/>
    <s v="0x22"/>
    <s v="0x4300"/>
    <n v="192"/>
    <x v="16"/>
    <s v="degC"/>
  </r>
  <r>
    <x v="28"/>
    <x v="2"/>
    <s v="0x22"/>
    <s v="0x5834"/>
    <n v="25902"/>
    <x v="2"/>
    <s v="hPa"/>
  </r>
  <r>
    <x v="29"/>
    <x v="3"/>
    <s v="0x22"/>
    <s v="0x4411"/>
    <s v="N/A"/>
    <x v="3"/>
    <s v="N/A"/>
  </r>
  <r>
    <x v="30"/>
    <x v="4"/>
    <s v="0x22"/>
    <s v="0x4205"/>
    <n v="12878"/>
    <x v="17"/>
    <s v="hPa"/>
  </r>
  <r>
    <x v="31"/>
    <x v="5"/>
    <s v="0x22"/>
    <s v="0x4807"/>
    <n v="2593"/>
    <x v="18"/>
    <s v="rpm"/>
  </r>
  <r>
    <x v="32"/>
    <x v="6"/>
    <s v="0x22"/>
    <s v="0x5881"/>
    <n v="1"/>
    <x v="6"/>
    <s v="-"/>
  </r>
  <r>
    <x v="33"/>
    <x v="7"/>
    <s v="0x22"/>
    <s v="0x460c"/>
    <n v="548"/>
    <x v="19"/>
    <s v="V"/>
  </r>
  <r>
    <x v="34"/>
    <x v="8"/>
    <s v="0x22"/>
    <s v="0x586f"/>
    <n v="2648"/>
    <x v="20"/>
    <s v="hPa"/>
  </r>
  <r>
    <x v="35"/>
    <x v="9"/>
    <s v="0x22"/>
    <s v="0x5816"/>
    <n v="17"/>
    <x v="21"/>
    <s v="-"/>
  </r>
  <r>
    <x v="36"/>
    <x v="10"/>
    <s v="0x22"/>
    <s v="0x5889"/>
    <n v="4224"/>
    <x v="22"/>
    <s v="-"/>
  </r>
  <r>
    <x v="37"/>
    <x v="11"/>
    <s v="0x22"/>
    <s v="0x4ab1"/>
    <s v="N/A"/>
    <x v="3"/>
    <s v="N/A"/>
  </r>
  <r>
    <x v="38"/>
    <x v="12"/>
    <s v="0x22"/>
    <s v="0x4811"/>
    <s v="N/A"/>
    <x v="3"/>
    <s v="N/A"/>
  </r>
  <r>
    <x v="39"/>
    <x v="13"/>
    <s v="0x22"/>
    <s v="0x4812"/>
    <s v="N/A"/>
    <x v="3"/>
    <s v="N/A"/>
  </r>
  <r>
    <x v="40"/>
    <x v="14"/>
    <s v="0x22"/>
    <s v="0x58ef"/>
    <n v="9036"/>
    <x v="23"/>
    <s v="MPa"/>
  </r>
  <r>
    <x v="41"/>
    <x v="15"/>
    <s v="0x22"/>
    <s v="0x58b7"/>
    <n v="1"/>
    <x v="6"/>
    <s v="hPa"/>
  </r>
  <r>
    <x v="42"/>
    <x v="16"/>
    <s v="0x22"/>
    <s v="0x5800"/>
    <n v="155"/>
    <x v="24"/>
    <s v="s"/>
  </r>
  <r>
    <x v="43"/>
    <x v="17"/>
    <s v="0x22"/>
    <s v="0x580b"/>
    <n v="24631"/>
    <x v="25"/>
    <s v="hPa"/>
  </r>
  <r>
    <x v="44"/>
    <x v="18"/>
    <s v="0x22"/>
    <s v="0x580f"/>
    <n v="113"/>
    <x v="26"/>
    <s v="degC"/>
  </r>
  <r>
    <x v="45"/>
    <x v="19"/>
    <s v="0x22"/>
    <s v="0x5818"/>
    <n v="3"/>
    <x v="27"/>
    <s v="kg/hr"/>
  </r>
  <r>
    <x v="46"/>
    <x v="20"/>
    <s v="0x22"/>
    <s v="0x4521"/>
    <s v="N/A"/>
    <x v="3"/>
    <s v="N/A"/>
  </r>
  <r>
    <x v="47"/>
    <x v="21"/>
    <s v="0x22"/>
    <s v="0x4abf"/>
    <s v="N/A"/>
    <x v="3"/>
    <s v="N/A"/>
  </r>
  <r>
    <x v="48"/>
    <x v="22"/>
    <s v="0x22"/>
    <s v="0x4ac0"/>
    <s v="N/A"/>
    <x v="3"/>
    <s v="N/A"/>
  </r>
  <r>
    <x v="49"/>
    <x v="23"/>
    <s v="0x22"/>
    <s v="0x4522"/>
    <s v="N/A"/>
    <x v="3"/>
    <s v="N/A"/>
  </r>
  <r>
    <x v="50"/>
    <x v="24"/>
    <s v="0x22"/>
    <s v="0x4403"/>
    <n v="26590"/>
    <x v="28"/>
    <s v="L?"/>
  </r>
  <r>
    <x v="51"/>
    <x v="25"/>
    <s v="0x22"/>
    <s v="0x4a6c"/>
    <s v="N/A"/>
    <x v="3"/>
    <s v="N/A"/>
  </r>
  <r>
    <x v="52"/>
    <x v="0"/>
    <s v="0x22"/>
    <s v="0x5822"/>
    <n v="162"/>
    <x v="0"/>
    <s v="degC"/>
  </r>
  <r>
    <x v="53"/>
    <x v="1"/>
    <s v="0x22"/>
    <s v="0x4300"/>
    <n v="186"/>
    <x v="29"/>
    <s v="degC"/>
  </r>
  <r>
    <x v="54"/>
    <x v="2"/>
    <s v="0x22"/>
    <s v="0x5834"/>
    <n v="25902"/>
    <x v="2"/>
    <s v="hPa"/>
  </r>
  <r>
    <x v="55"/>
    <x v="3"/>
    <s v="0x22"/>
    <s v="0x4411"/>
    <s v="N/A"/>
    <x v="3"/>
    <s v="N/A"/>
  </r>
  <r>
    <x v="56"/>
    <x v="4"/>
    <s v="0x22"/>
    <s v="0x4205"/>
    <n v="12912"/>
    <x v="30"/>
    <s v="hPa"/>
  </r>
  <r>
    <x v="57"/>
    <x v="5"/>
    <s v="0x22"/>
    <s v="0x4807"/>
    <n v="2955"/>
    <x v="31"/>
    <s v="rpm"/>
  </r>
  <r>
    <x v="58"/>
    <x v="6"/>
    <s v="0x22"/>
    <s v="0x5881"/>
    <n v="8"/>
    <x v="14"/>
    <s v="-"/>
  </r>
  <r>
    <x v="59"/>
    <x v="7"/>
    <s v="0x22"/>
    <s v="0x460c"/>
    <n v="613"/>
    <x v="32"/>
    <s v="V"/>
  </r>
  <r>
    <x v="60"/>
    <x v="8"/>
    <s v="0x22"/>
    <s v="0x586f"/>
    <n v="2699"/>
    <x v="33"/>
    <s v="hPa"/>
  </r>
  <r>
    <x v="61"/>
    <x v="9"/>
    <s v="0x22"/>
    <s v="0x5816"/>
    <n v="3835"/>
    <x v="34"/>
    <s v="-"/>
  </r>
  <r>
    <x v="62"/>
    <x v="10"/>
    <s v="0x22"/>
    <s v="0x5889"/>
    <n v="3807"/>
    <x v="35"/>
    <s v="-"/>
  </r>
  <r>
    <x v="63"/>
    <x v="11"/>
    <s v="0x22"/>
    <s v="0x4ab1"/>
    <s v="N/A"/>
    <x v="3"/>
    <s v="N/A"/>
  </r>
  <r>
    <x v="64"/>
    <x v="12"/>
    <s v="0x22"/>
    <s v="0x4811"/>
    <s v="N/A"/>
    <x v="3"/>
    <s v="N/A"/>
  </r>
  <r>
    <x v="65"/>
    <x v="13"/>
    <s v="0x22"/>
    <s v="0x4812"/>
    <s v="N/A"/>
    <x v="3"/>
    <s v="N/A"/>
  </r>
  <r>
    <x v="66"/>
    <x v="14"/>
    <s v="0x22"/>
    <s v="0x58ef"/>
    <n v="11199"/>
    <x v="36"/>
    <s v="MPa"/>
  </r>
  <r>
    <x v="67"/>
    <x v="15"/>
    <s v="0x22"/>
    <s v="0x58b7"/>
    <n v="1"/>
    <x v="6"/>
    <s v="hPa"/>
  </r>
  <r>
    <x v="68"/>
    <x v="16"/>
    <s v="0x22"/>
    <s v="0x5800"/>
    <n v="225"/>
    <x v="37"/>
    <s v="s"/>
  </r>
  <r>
    <x v="69"/>
    <x v="17"/>
    <s v="0x22"/>
    <s v="0x580b"/>
    <n v="24615"/>
    <x v="38"/>
    <s v="hPa"/>
  </r>
  <r>
    <x v="70"/>
    <x v="18"/>
    <s v="0x22"/>
    <s v="0x580f"/>
    <n v="111"/>
    <x v="39"/>
    <s v="degC"/>
  </r>
  <r>
    <x v="71"/>
    <x v="19"/>
    <s v="0x22"/>
    <s v="0x5818"/>
    <n v="3"/>
    <x v="27"/>
    <s v="kg/hr"/>
  </r>
  <r>
    <x v="72"/>
    <x v="20"/>
    <s v="0x22"/>
    <s v="0x4521"/>
    <s v="N/A"/>
    <x v="3"/>
    <s v="N/A"/>
  </r>
  <r>
    <x v="73"/>
    <x v="21"/>
    <s v="0x22"/>
    <s v="0x4abf"/>
    <s v="N/A"/>
    <x v="3"/>
    <s v="N/A"/>
  </r>
  <r>
    <x v="74"/>
    <x v="22"/>
    <s v="0x22"/>
    <s v="0x4ac0"/>
    <s v="N/A"/>
    <x v="3"/>
    <s v="N/A"/>
  </r>
  <r>
    <x v="75"/>
    <x v="23"/>
    <s v="0x22"/>
    <s v="0x4522"/>
    <s v="N/A"/>
    <x v="3"/>
    <s v="N/A"/>
  </r>
  <r>
    <x v="76"/>
    <x v="24"/>
    <s v="0x22"/>
    <s v="0x4403"/>
    <n v="26609"/>
    <x v="28"/>
    <s v="L?"/>
  </r>
  <r>
    <x v="77"/>
    <x v="25"/>
    <s v="0x22"/>
    <s v="0x4a6c"/>
    <s v="N/A"/>
    <x v="3"/>
    <s v="N/A"/>
  </r>
  <r>
    <x v="78"/>
    <x v="0"/>
    <s v="0x22"/>
    <s v="0x5822"/>
    <n v="162"/>
    <x v="0"/>
    <s v="degC"/>
  </r>
  <r>
    <x v="79"/>
    <x v="1"/>
    <s v="0x22"/>
    <s v="0x4300"/>
    <n v="189"/>
    <x v="40"/>
    <s v="degC"/>
  </r>
  <r>
    <x v="80"/>
    <x v="2"/>
    <s v="0x22"/>
    <s v="0x5834"/>
    <n v="25902"/>
    <x v="2"/>
    <s v="hPa"/>
  </r>
  <r>
    <x v="81"/>
    <x v="3"/>
    <s v="0x22"/>
    <s v="0x4411"/>
    <s v="N/A"/>
    <x v="3"/>
    <s v="N/A"/>
  </r>
  <r>
    <x v="82"/>
    <x v="4"/>
    <s v="0x22"/>
    <s v="0x4205"/>
    <n v="12861"/>
    <x v="41"/>
    <s v="hPa"/>
  </r>
  <r>
    <x v="83"/>
    <x v="5"/>
    <s v="0x22"/>
    <s v="0x4807"/>
    <n v="3409"/>
    <x v="42"/>
    <s v="rpm"/>
  </r>
  <r>
    <x v="84"/>
    <x v="6"/>
    <s v="0x22"/>
    <s v="0x5881"/>
    <n v="2"/>
    <x v="43"/>
    <s v="-"/>
  </r>
  <r>
    <x v="85"/>
    <x v="7"/>
    <s v="0x22"/>
    <s v="0x460c"/>
    <n v="613"/>
    <x v="32"/>
    <s v="V"/>
  </r>
  <r>
    <x v="86"/>
    <x v="8"/>
    <s v="0x22"/>
    <s v="0x586f"/>
    <n v="2871"/>
    <x v="44"/>
    <s v="hPa"/>
  </r>
  <r>
    <x v="87"/>
    <x v="9"/>
    <s v="0x22"/>
    <s v="0x5816"/>
    <n v="17"/>
    <x v="21"/>
    <s v="-"/>
  </r>
  <r>
    <x v="88"/>
    <x v="10"/>
    <s v="0x22"/>
    <s v="0x5889"/>
    <n v="4130"/>
    <x v="45"/>
    <s v="-"/>
  </r>
  <r>
    <x v="89"/>
    <x v="11"/>
    <s v="0x22"/>
    <s v="0x4ab1"/>
    <s v="N/A"/>
    <x v="3"/>
    <s v="N/A"/>
  </r>
  <r>
    <x v="90"/>
    <x v="12"/>
    <s v="0x22"/>
    <s v="0x4811"/>
    <s v="N/A"/>
    <x v="3"/>
    <s v="N/A"/>
  </r>
  <r>
    <x v="91"/>
    <x v="13"/>
    <s v="0x22"/>
    <s v="0x4812"/>
    <s v="N/A"/>
    <x v="3"/>
    <s v="N/A"/>
  </r>
  <r>
    <x v="92"/>
    <x v="14"/>
    <s v="0x22"/>
    <s v="0x58ef"/>
    <n v="9566"/>
    <x v="46"/>
    <s v="MPa"/>
  </r>
  <r>
    <x v="93"/>
    <x v="15"/>
    <s v="0x22"/>
    <s v="0x58b7"/>
    <n v="12"/>
    <x v="27"/>
    <s v="hPa"/>
  </r>
  <r>
    <x v="94"/>
    <x v="16"/>
    <s v="0x22"/>
    <s v="0x5800"/>
    <n v="295"/>
    <x v="47"/>
    <s v="s"/>
  </r>
  <r>
    <x v="95"/>
    <x v="17"/>
    <s v="0x22"/>
    <s v="0x580b"/>
    <n v="24490"/>
    <x v="48"/>
    <s v="hPa"/>
  </r>
  <r>
    <x v="96"/>
    <x v="18"/>
    <s v="0x22"/>
    <s v="0x580f"/>
    <n v="110"/>
    <x v="49"/>
    <s v="degC"/>
  </r>
  <r>
    <x v="97"/>
    <x v="19"/>
    <s v="0x22"/>
    <s v="0x5818"/>
    <n v="3"/>
    <x v="27"/>
    <s v="kg/hr"/>
  </r>
  <r>
    <x v="98"/>
    <x v="20"/>
    <s v="0x22"/>
    <s v="0x4521"/>
    <s v="N/A"/>
    <x v="3"/>
    <s v="N/A"/>
  </r>
  <r>
    <x v="99"/>
    <x v="21"/>
    <s v="0x22"/>
    <s v="0x4abf"/>
    <s v="N/A"/>
    <x v="3"/>
    <s v="N/A"/>
  </r>
  <r>
    <x v="100"/>
    <x v="22"/>
    <s v="0x22"/>
    <s v="0x4ac0"/>
    <s v="N/A"/>
    <x v="3"/>
    <s v="N/A"/>
  </r>
  <r>
    <x v="101"/>
    <x v="23"/>
    <s v="0x22"/>
    <s v="0x4522"/>
    <s v="N/A"/>
    <x v="3"/>
    <s v="N/A"/>
  </r>
  <r>
    <x v="102"/>
    <x v="24"/>
    <s v="0x22"/>
    <s v="0x4403"/>
    <n v="1"/>
    <x v="21"/>
    <s v="L?"/>
  </r>
  <r>
    <x v="103"/>
    <x v="25"/>
    <s v="0x22"/>
    <s v="0x4a6c"/>
    <s v="N/A"/>
    <x v="3"/>
    <s v="N/A"/>
  </r>
  <r>
    <x v="104"/>
    <x v="0"/>
    <s v="0x22"/>
    <s v="0x5822"/>
    <n v="162"/>
    <x v="0"/>
    <s v="degC"/>
  </r>
  <r>
    <x v="105"/>
    <x v="1"/>
    <s v="0x22"/>
    <s v="0x4300"/>
    <n v="191"/>
    <x v="50"/>
    <s v="degC"/>
  </r>
  <r>
    <x v="106"/>
    <x v="2"/>
    <s v="0x22"/>
    <s v="0x5834"/>
    <n v="25902"/>
    <x v="2"/>
    <s v="hPa"/>
  </r>
  <r>
    <x v="107"/>
    <x v="3"/>
    <s v="0x22"/>
    <s v="0x4411"/>
    <s v="N/A"/>
    <x v="3"/>
    <s v="N/A"/>
  </r>
  <r>
    <x v="108"/>
    <x v="4"/>
    <s v="0x22"/>
    <s v="0x4205"/>
    <n v="12878"/>
    <x v="17"/>
    <s v="hPa"/>
  </r>
  <r>
    <x v="109"/>
    <x v="5"/>
    <s v="0x22"/>
    <s v="0x4807"/>
    <n v="2789"/>
    <x v="51"/>
    <s v="rpm"/>
  </r>
  <r>
    <x v="110"/>
    <x v="6"/>
    <s v="0x22"/>
    <s v="0x5881"/>
    <n v="1"/>
    <x v="6"/>
    <s v="-"/>
  </r>
  <r>
    <x v="111"/>
    <x v="7"/>
    <s v="0x22"/>
    <s v="0x460c"/>
    <n v="603"/>
    <x v="52"/>
    <s v="V"/>
  </r>
  <r>
    <x v="112"/>
    <x v="8"/>
    <s v="0x22"/>
    <s v="0x586f"/>
    <n v="2745"/>
    <x v="53"/>
    <s v="hPa"/>
  </r>
  <r>
    <x v="113"/>
    <x v="9"/>
    <s v="0x22"/>
    <s v="0x5816"/>
    <n v="17"/>
    <x v="21"/>
    <s v="-"/>
  </r>
  <r>
    <x v="114"/>
    <x v="10"/>
    <s v="0x22"/>
    <s v="0x5889"/>
    <n v="4040"/>
    <x v="9"/>
    <s v="-"/>
  </r>
  <r>
    <x v="115"/>
    <x v="11"/>
    <s v="0x22"/>
    <s v="0x4ab1"/>
    <s v="N/A"/>
    <x v="3"/>
    <s v="N/A"/>
  </r>
  <r>
    <x v="116"/>
    <x v="12"/>
    <s v="0x22"/>
    <s v="0x4811"/>
    <s v="N/A"/>
    <x v="3"/>
    <s v="N/A"/>
  </r>
  <r>
    <x v="117"/>
    <x v="13"/>
    <s v="0x22"/>
    <s v="0x4812"/>
    <s v="N/A"/>
    <x v="3"/>
    <s v="N/A"/>
  </r>
  <r>
    <x v="118"/>
    <x v="14"/>
    <s v="0x22"/>
    <s v="0x58ef"/>
    <n v="10520"/>
    <x v="54"/>
    <s v="MPa"/>
  </r>
  <r>
    <x v="119"/>
    <x v="15"/>
    <s v="0x22"/>
    <s v="0x58b7"/>
    <n v="1"/>
    <x v="6"/>
    <s v="hPa"/>
  </r>
  <r>
    <x v="120"/>
    <x v="16"/>
    <s v="0x22"/>
    <s v="0x5800"/>
    <n v="366"/>
    <x v="55"/>
    <s v="s"/>
  </r>
  <r>
    <x v="121"/>
    <x v="17"/>
    <s v="0x22"/>
    <s v="0x580b"/>
    <n v="24372"/>
    <x v="56"/>
    <s v="hPa"/>
  </r>
  <r>
    <x v="122"/>
    <x v="18"/>
    <s v="0x22"/>
    <s v="0x580f"/>
    <n v="110"/>
    <x v="49"/>
    <s v="degC"/>
  </r>
  <r>
    <x v="123"/>
    <x v="19"/>
    <s v="0x22"/>
    <s v="0x5818"/>
    <n v="3"/>
    <x v="27"/>
    <s v="kg/hr"/>
  </r>
  <r>
    <x v="124"/>
    <x v="20"/>
    <s v="0x22"/>
    <s v="0x4521"/>
    <s v="N/A"/>
    <x v="3"/>
    <s v="N/A"/>
  </r>
  <r>
    <x v="125"/>
    <x v="21"/>
    <s v="0x22"/>
    <s v="0x4abf"/>
    <s v="N/A"/>
    <x v="3"/>
    <s v="N/A"/>
  </r>
  <r>
    <x v="126"/>
    <x v="22"/>
    <s v="0x22"/>
    <s v="0x4ac0"/>
    <s v="N/A"/>
    <x v="3"/>
    <s v="N/A"/>
  </r>
  <r>
    <x v="127"/>
    <x v="23"/>
    <s v="0x22"/>
    <s v="0x4522"/>
    <s v="N/A"/>
    <x v="3"/>
    <s v="N/A"/>
  </r>
  <r>
    <x v="128"/>
    <x v="24"/>
    <s v="0x22"/>
    <s v="0x4403"/>
    <n v="26638"/>
    <x v="28"/>
    <s v="L?"/>
  </r>
  <r>
    <x v="129"/>
    <x v="25"/>
    <s v="0x22"/>
    <s v="0x4a6c"/>
    <s v="N/A"/>
    <x v="3"/>
    <s v="N/A"/>
  </r>
  <r>
    <x v="130"/>
    <x v="0"/>
    <s v="0x22"/>
    <s v="0x5822"/>
    <n v="162"/>
    <x v="0"/>
    <s v="degC"/>
  </r>
  <r>
    <x v="131"/>
    <x v="1"/>
    <s v="0x22"/>
    <s v="0x4300"/>
    <n v="193"/>
    <x v="57"/>
    <s v="degC"/>
  </r>
  <r>
    <x v="132"/>
    <x v="2"/>
    <s v="0x22"/>
    <s v="0x5834"/>
    <n v="25902"/>
    <x v="2"/>
    <s v="hPa"/>
  </r>
  <r>
    <x v="133"/>
    <x v="3"/>
    <s v="0x22"/>
    <s v="0x4411"/>
    <s v="N/A"/>
    <x v="3"/>
    <s v="N/A"/>
  </r>
  <r>
    <x v="134"/>
    <x v="4"/>
    <s v="0x22"/>
    <s v="0x4205"/>
    <n v="12925"/>
    <x v="58"/>
    <s v="hPa"/>
  </r>
  <r>
    <x v="135"/>
    <x v="5"/>
    <s v="0x22"/>
    <s v="0x4807"/>
    <n v="3277"/>
    <x v="59"/>
    <s v="rpm"/>
  </r>
  <r>
    <x v="136"/>
    <x v="6"/>
    <s v="0x22"/>
    <s v="0x5881"/>
    <n v="8"/>
    <x v="14"/>
    <s v="-"/>
  </r>
  <r>
    <x v="137"/>
    <x v="7"/>
    <s v="0x22"/>
    <s v="0x460c"/>
    <n v="611"/>
    <x v="60"/>
    <s v="V"/>
  </r>
  <r>
    <x v="138"/>
    <x v="8"/>
    <s v="0x22"/>
    <s v="0x586f"/>
    <n v="2781"/>
    <x v="61"/>
    <s v="hPa"/>
  </r>
  <r>
    <x v="139"/>
    <x v="9"/>
    <s v="0x22"/>
    <s v="0x5816"/>
    <n v="4094"/>
    <x v="6"/>
    <s v="-"/>
  </r>
  <r>
    <x v="140"/>
    <x v="10"/>
    <s v="0x22"/>
    <s v="0x5889"/>
    <n v="4088"/>
    <x v="6"/>
    <s v="-"/>
  </r>
  <r>
    <x v="141"/>
    <x v="11"/>
    <s v="0x22"/>
    <s v="0x4ab1"/>
    <s v="N/A"/>
    <x v="3"/>
    <s v="N/A"/>
  </r>
  <r>
    <x v="142"/>
    <x v="12"/>
    <s v="0x22"/>
    <s v="0x4811"/>
    <s v="N/A"/>
    <x v="3"/>
    <s v="N/A"/>
  </r>
  <r>
    <x v="143"/>
    <x v="13"/>
    <s v="0x22"/>
    <s v="0x4812"/>
    <s v="N/A"/>
    <x v="3"/>
    <s v="N/A"/>
  </r>
  <r>
    <x v="144"/>
    <x v="14"/>
    <s v="0x22"/>
    <s v="0x58ef"/>
    <n v="11523"/>
    <x v="62"/>
    <s v="MPa"/>
  </r>
  <r>
    <x v="145"/>
    <x v="15"/>
    <s v="0x22"/>
    <s v="0x58b7"/>
    <n v="8"/>
    <x v="14"/>
    <s v="hPa"/>
  </r>
  <r>
    <x v="146"/>
    <x v="16"/>
    <s v="0x22"/>
    <s v="0x5800"/>
    <n v="437"/>
    <x v="63"/>
    <s v="s"/>
  </r>
  <r>
    <x v="147"/>
    <x v="17"/>
    <s v="0x22"/>
    <s v="0x580b"/>
    <n v="24465"/>
    <x v="64"/>
    <s v="hPa"/>
  </r>
  <r>
    <x v="148"/>
    <x v="18"/>
    <s v="0x22"/>
    <s v="0x580f"/>
    <n v="109"/>
    <x v="65"/>
    <s v="degC"/>
  </r>
  <r>
    <x v="149"/>
    <x v="19"/>
    <s v="0x22"/>
    <s v="0x5818"/>
    <n v="4"/>
    <x v="66"/>
    <s v="kg/hr"/>
  </r>
  <r>
    <x v="150"/>
    <x v="20"/>
    <s v="0x22"/>
    <s v="0x4521"/>
    <s v="N/A"/>
    <x v="3"/>
    <s v="N/A"/>
  </r>
  <r>
    <x v="151"/>
    <x v="21"/>
    <s v="0x22"/>
    <s v="0x4abf"/>
    <s v="N/A"/>
    <x v="3"/>
    <s v="N/A"/>
  </r>
  <r>
    <x v="152"/>
    <x v="22"/>
    <s v="0x22"/>
    <s v="0x4ac0"/>
    <s v="N/A"/>
    <x v="3"/>
    <s v="N/A"/>
  </r>
  <r>
    <x v="153"/>
    <x v="23"/>
    <s v="0x22"/>
    <s v="0x4522"/>
    <s v="N/A"/>
    <x v="3"/>
    <s v="N/A"/>
  </r>
  <r>
    <x v="154"/>
    <x v="24"/>
    <s v="0x22"/>
    <s v="0x4403"/>
    <n v="26663"/>
    <x v="28"/>
    <s v="L?"/>
  </r>
  <r>
    <x v="155"/>
    <x v="25"/>
    <s v="0x22"/>
    <s v="0x4a6c"/>
    <s v="N/A"/>
    <x v="3"/>
    <s v="N/A"/>
  </r>
  <r>
    <x v="156"/>
    <x v="0"/>
    <s v="0x22"/>
    <s v="0x5822"/>
    <n v="161"/>
    <x v="67"/>
    <s v="degC"/>
  </r>
  <r>
    <x v="157"/>
    <x v="1"/>
    <s v="0x22"/>
    <s v="0x4300"/>
    <n v="195"/>
    <x v="68"/>
    <s v="degC"/>
  </r>
  <r>
    <x v="158"/>
    <x v="2"/>
    <s v="0x22"/>
    <s v="0x5834"/>
    <n v="25902"/>
    <x v="2"/>
    <s v="hPa"/>
  </r>
  <r>
    <x v="159"/>
    <x v="3"/>
    <s v="0x22"/>
    <s v="0x4411"/>
    <s v="N/A"/>
    <x v="3"/>
    <s v="N/A"/>
  </r>
  <r>
    <x v="160"/>
    <x v="4"/>
    <s v="0x22"/>
    <s v="0x4205"/>
    <n v="12857"/>
    <x v="69"/>
    <s v="hPa"/>
  </r>
  <r>
    <x v="161"/>
    <x v="5"/>
    <s v="0x22"/>
    <s v="0x4807"/>
    <n v="5583"/>
    <x v="70"/>
    <s v="rpm"/>
  </r>
  <r>
    <x v="162"/>
    <x v="6"/>
    <s v="0x22"/>
    <s v="0x5881"/>
    <n v="2"/>
    <x v="43"/>
    <s v="-"/>
  </r>
  <r>
    <x v="163"/>
    <x v="7"/>
    <s v="0x22"/>
    <s v="0x460c"/>
    <n v="605"/>
    <x v="71"/>
    <s v="V"/>
  </r>
  <r>
    <x v="164"/>
    <x v="8"/>
    <s v="0x22"/>
    <s v="0x586f"/>
    <n v="2803"/>
    <x v="72"/>
    <s v="hPa"/>
  </r>
  <r>
    <x v="165"/>
    <x v="9"/>
    <s v="0x22"/>
    <s v="0x5816"/>
    <n v="5734"/>
    <x v="73"/>
    <s v="-"/>
  </r>
  <r>
    <x v="166"/>
    <x v="10"/>
    <s v="0x22"/>
    <s v="0x5889"/>
    <n v="5413"/>
    <x v="74"/>
    <s v="-"/>
  </r>
  <r>
    <x v="167"/>
    <x v="11"/>
    <s v="0x22"/>
    <s v="0x4ab1"/>
    <s v="N/A"/>
    <x v="3"/>
    <s v="N/A"/>
  </r>
  <r>
    <x v="168"/>
    <x v="12"/>
    <s v="0x22"/>
    <s v="0x4811"/>
    <s v="N/A"/>
    <x v="3"/>
    <s v="N/A"/>
  </r>
  <r>
    <x v="169"/>
    <x v="13"/>
    <s v="0x22"/>
    <s v="0x4812"/>
    <s v="N/A"/>
    <x v="3"/>
    <s v="N/A"/>
  </r>
  <r>
    <x v="170"/>
    <x v="14"/>
    <s v="0x22"/>
    <s v="0x58ef"/>
    <n v="10188"/>
    <x v="75"/>
    <s v="MPa"/>
  </r>
  <r>
    <x v="171"/>
    <x v="15"/>
    <s v="0x22"/>
    <s v="0x58b7"/>
    <n v="1"/>
    <x v="6"/>
    <s v="hPa"/>
  </r>
  <r>
    <x v="172"/>
    <x v="16"/>
    <s v="0x22"/>
    <s v="0x5800"/>
    <n v="507"/>
    <x v="76"/>
    <s v="s"/>
  </r>
  <r>
    <x v="173"/>
    <x v="17"/>
    <s v="0x22"/>
    <s v="0x580b"/>
    <n v="24509"/>
    <x v="77"/>
    <s v="hPa"/>
  </r>
  <r>
    <x v="174"/>
    <x v="18"/>
    <s v="0x22"/>
    <s v="0x580f"/>
    <n v="108"/>
    <x v="78"/>
    <s v="degC"/>
  </r>
  <r>
    <x v="175"/>
    <x v="19"/>
    <s v="0x22"/>
    <s v="0x5818"/>
    <n v="9"/>
    <x v="79"/>
    <s v="kg/hr"/>
  </r>
  <r>
    <x v="176"/>
    <x v="20"/>
    <s v="0x22"/>
    <s v="0x4521"/>
    <s v="N/A"/>
    <x v="3"/>
    <s v="N/A"/>
  </r>
  <r>
    <x v="177"/>
    <x v="21"/>
    <s v="0x22"/>
    <s v="0x4abf"/>
    <s v="N/A"/>
    <x v="3"/>
    <s v="N/A"/>
  </r>
  <r>
    <x v="178"/>
    <x v="22"/>
    <s v="0x22"/>
    <s v="0x4ac0"/>
    <s v="N/A"/>
    <x v="3"/>
    <s v="N/A"/>
  </r>
  <r>
    <x v="179"/>
    <x v="23"/>
    <s v="0x22"/>
    <s v="0x4522"/>
    <s v="N/A"/>
    <x v="3"/>
    <s v="N/A"/>
  </r>
  <r>
    <x v="180"/>
    <x v="24"/>
    <s v="0x22"/>
    <s v="0x4403"/>
    <n v="26704"/>
    <x v="80"/>
    <s v="L?"/>
  </r>
  <r>
    <x v="181"/>
    <x v="25"/>
    <s v="0x22"/>
    <s v="0x4a6c"/>
    <s v="N/A"/>
    <x v="3"/>
    <s v="N/A"/>
  </r>
  <r>
    <x v="182"/>
    <x v="0"/>
    <s v="0x22"/>
    <s v="0x5822"/>
    <n v="161"/>
    <x v="67"/>
    <s v="degC"/>
  </r>
  <r>
    <x v="183"/>
    <x v="1"/>
    <s v="0x22"/>
    <s v="0x4300"/>
    <n v="196"/>
    <x v="81"/>
    <s v="degC"/>
  </r>
  <r>
    <x v="184"/>
    <x v="2"/>
    <s v="0x22"/>
    <s v="0x5834"/>
    <n v="25902"/>
    <x v="2"/>
    <s v="hPa"/>
  </r>
  <r>
    <x v="185"/>
    <x v="3"/>
    <s v="0x22"/>
    <s v="0x4411"/>
    <s v="N/A"/>
    <x v="3"/>
    <s v="N/A"/>
  </r>
  <r>
    <x v="186"/>
    <x v="4"/>
    <s v="0x22"/>
    <s v="0x4205"/>
    <n v="12913"/>
    <x v="82"/>
    <s v="hPa"/>
  </r>
  <r>
    <x v="187"/>
    <x v="5"/>
    <s v="0x22"/>
    <s v="0x4807"/>
    <n v="5795"/>
    <x v="83"/>
    <s v="rpm"/>
  </r>
  <r>
    <x v="188"/>
    <x v="6"/>
    <s v="0x22"/>
    <s v="0x5881"/>
    <n v="4"/>
    <x v="84"/>
    <s v="-"/>
  </r>
  <r>
    <x v="189"/>
    <x v="7"/>
    <s v="0x22"/>
    <s v="0x460c"/>
    <n v="601"/>
    <x v="85"/>
    <s v="V"/>
  </r>
  <r>
    <x v="190"/>
    <x v="8"/>
    <s v="0x22"/>
    <s v="0x586f"/>
    <n v="3204"/>
    <x v="86"/>
    <s v="hPa"/>
  </r>
  <r>
    <x v="191"/>
    <x v="9"/>
    <s v="0x22"/>
    <s v="0x5816"/>
    <n v="4035"/>
    <x v="9"/>
    <s v="-"/>
  </r>
  <r>
    <x v="192"/>
    <x v="10"/>
    <s v="0x22"/>
    <s v="0x5889"/>
    <n v="3617"/>
    <x v="87"/>
    <s v="-"/>
  </r>
  <r>
    <x v="193"/>
    <x v="11"/>
    <s v="0x22"/>
    <s v="0x4ab1"/>
    <s v="N/A"/>
    <x v="3"/>
    <s v="N/A"/>
  </r>
  <r>
    <x v="194"/>
    <x v="12"/>
    <s v="0x22"/>
    <s v="0x4811"/>
    <s v="N/A"/>
    <x v="3"/>
    <s v="N/A"/>
  </r>
  <r>
    <x v="195"/>
    <x v="13"/>
    <s v="0x22"/>
    <s v="0x4812"/>
    <s v="N/A"/>
    <x v="3"/>
    <s v="N/A"/>
  </r>
  <r>
    <x v="196"/>
    <x v="14"/>
    <s v="0x22"/>
    <s v="0x58ef"/>
    <n v="9898"/>
    <x v="88"/>
    <s v="MPa"/>
  </r>
  <r>
    <x v="197"/>
    <x v="15"/>
    <s v="0x22"/>
    <s v="0x58b7"/>
    <n v="1"/>
    <x v="6"/>
    <s v="hPa"/>
  </r>
  <r>
    <x v="198"/>
    <x v="16"/>
    <s v="0x22"/>
    <s v="0x5800"/>
    <n v="577"/>
    <x v="89"/>
    <s v="s"/>
  </r>
  <r>
    <x v="199"/>
    <x v="17"/>
    <s v="0x22"/>
    <s v="0x580b"/>
    <n v="25098"/>
    <x v="90"/>
    <s v="hPa"/>
  </r>
  <r>
    <x v="200"/>
    <x v="18"/>
    <s v="0x22"/>
    <s v="0x580f"/>
    <n v="107"/>
    <x v="91"/>
    <s v="degC"/>
  </r>
  <r>
    <x v="201"/>
    <x v="19"/>
    <s v="0x22"/>
    <s v="0x5818"/>
    <n v="4"/>
    <x v="66"/>
    <s v="kg/hr"/>
  </r>
  <r>
    <x v="202"/>
    <x v="20"/>
    <s v="0x22"/>
    <s v="0x4521"/>
    <s v="N/A"/>
    <x v="3"/>
    <s v="N/A"/>
  </r>
  <r>
    <x v="203"/>
    <x v="21"/>
    <s v="0x22"/>
    <s v="0x4abf"/>
    <s v="N/A"/>
    <x v="3"/>
    <s v="N/A"/>
  </r>
  <r>
    <x v="204"/>
    <x v="22"/>
    <s v="0x22"/>
    <s v="0x4ac0"/>
    <s v="N/A"/>
    <x v="3"/>
    <s v="N/A"/>
  </r>
  <r>
    <x v="205"/>
    <x v="23"/>
    <s v="0x22"/>
    <s v="0x4522"/>
    <s v="N/A"/>
    <x v="3"/>
    <s v="N/A"/>
  </r>
  <r>
    <x v="206"/>
    <x v="24"/>
    <s v="0x22"/>
    <s v="0x4403"/>
    <n v="26726"/>
    <x v="80"/>
    <s v="L?"/>
  </r>
  <r>
    <x v="207"/>
    <x v="25"/>
    <s v="0x22"/>
    <s v="0x4a6c"/>
    <s v="N/A"/>
    <x v="3"/>
    <s v="N/A"/>
  </r>
  <r>
    <x v="208"/>
    <x v="0"/>
    <s v="0x22"/>
    <s v="0x5822"/>
    <n v="161"/>
    <x v="67"/>
    <s v="degC"/>
  </r>
  <r>
    <x v="209"/>
    <x v="1"/>
    <s v="0x22"/>
    <s v="0x4300"/>
    <n v="198"/>
    <x v="92"/>
    <s v="degC"/>
  </r>
  <r>
    <x v="210"/>
    <x v="2"/>
    <s v="0x22"/>
    <s v="0x5834"/>
    <n v="25902"/>
    <x v="2"/>
    <s v="hPa"/>
  </r>
  <r>
    <x v="211"/>
    <x v="3"/>
    <s v="0x22"/>
    <s v="0x4411"/>
    <s v="N/A"/>
    <x v="3"/>
    <s v="N/A"/>
  </r>
  <r>
    <x v="212"/>
    <x v="4"/>
    <s v="0x22"/>
    <s v="0x4205"/>
    <n v="13093"/>
    <x v="93"/>
    <s v="hPa"/>
  </r>
  <r>
    <x v="213"/>
    <x v="5"/>
    <s v="0x22"/>
    <s v="0x4807"/>
    <n v="6813"/>
    <x v="94"/>
    <s v="rpm"/>
  </r>
  <r>
    <x v="214"/>
    <x v="6"/>
    <s v="0x22"/>
    <s v="0x5881"/>
    <n v="3"/>
    <x v="95"/>
    <s v="-"/>
  </r>
  <r>
    <x v="215"/>
    <x v="7"/>
    <s v="0x22"/>
    <s v="0x460c"/>
    <n v="602"/>
    <x v="96"/>
    <s v="V"/>
  </r>
  <r>
    <x v="216"/>
    <x v="8"/>
    <s v="0x22"/>
    <s v="0x586f"/>
    <n v="3660"/>
    <x v="97"/>
    <s v="hPa"/>
  </r>
  <r>
    <x v="217"/>
    <x v="9"/>
    <s v="0x22"/>
    <s v="0x5816"/>
    <n v="3735"/>
    <x v="98"/>
    <s v="-"/>
  </r>
  <r>
    <x v="218"/>
    <x v="10"/>
    <s v="0x22"/>
    <s v="0x5889"/>
    <n v="3766"/>
    <x v="99"/>
    <s v="-"/>
  </r>
  <r>
    <x v="219"/>
    <x v="11"/>
    <s v="0x22"/>
    <s v="0x4ab1"/>
    <s v="N/A"/>
    <x v="3"/>
    <s v="N/A"/>
  </r>
  <r>
    <x v="220"/>
    <x v="12"/>
    <s v="0x22"/>
    <s v="0x4811"/>
    <s v="N/A"/>
    <x v="3"/>
    <s v="N/A"/>
  </r>
  <r>
    <x v="221"/>
    <x v="13"/>
    <s v="0x22"/>
    <s v="0x4812"/>
    <s v="N/A"/>
    <x v="3"/>
    <s v="N/A"/>
  </r>
  <r>
    <x v="222"/>
    <x v="14"/>
    <s v="0x22"/>
    <s v="0x58ef"/>
    <n v="11550"/>
    <x v="100"/>
    <s v="MPa"/>
  </r>
  <r>
    <x v="223"/>
    <x v="15"/>
    <s v="0x22"/>
    <s v="0x58b7"/>
    <n v="1"/>
    <x v="6"/>
    <s v="hPa"/>
  </r>
  <r>
    <x v="224"/>
    <x v="16"/>
    <s v="0x22"/>
    <s v="0x5800"/>
    <n v="646"/>
    <x v="101"/>
    <s v="s"/>
  </r>
  <r>
    <x v="225"/>
    <x v="17"/>
    <s v="0x22"/>
    <s v="0x580b"/>
    <n v="24596"/>
    <x v="102"/>
    <s v="hPa"/>
  </r>
  <r>
    <x v="226"/>
    <x v="18"/>
    <s v="0x22"/>
    <s v="0x580f"/>
    <n v="106"/>
    <x v="103"/>
    <s v="degC"/>
  </r>
  <r>
    <x v="227"/>
    <x v="19"/>
    <s v="0x22"/>
    <s v="0x5818"/>
    <n v="4"/>
    <x v="66"/>
    <s v="kg/hr"/>
  </r>
  <r>
    <x v="228"/>
    <x v="20"/>
    <s v="0x22"/>
    <s v="0x4521"/>
    <s v="N/A"/>
    <x v="3"/>
    <s v="N/A"/>
  </r>
  <r>
    <x v="229"/>
    <x v="21"/>
    <s v="0x22"/>
    <s v="0x4abf"/>
    <s v="N/A"/>
    <x v="3"/>
    <s v="N/A"/>
  </r>
  <r>
    <x v="230"/>
    <x v="22"/>
    <s v="0x22"/>
    <s v="0x4ac0"/>
    <s v="N/A"/>
    <x v="3"/>
    <s v="N/A"/>
  </r>
  <r>
    <x v="231"/>
    <x v="23"/>
    <s v="0x22"/>
    <s v="0x4522"/>
    <s v="N/A"/>
    <x v="3"/>
    <s v="N/A"/>
  </r>
  <r>
    <x v="232"/>
    <x v="24"/>
    <s v="0x22"/>
    <s v="0x4403"/>
    <n v="26747"/>
    <x v="104"/>
    <s v="L?"/>
  </r>
  <r>
    <x v="233"/>
    <x v="25"/>
    <s v="0x22"/>
    <s v="0x4a6c"/>
    <s v="N/A"/>
    <x v="3"/>
    <s v="N/A"/>
  </r>
  <r>
    <x v="234"/>
    <x v="0"/>
    <s v="0x22"/>
    <s v="0x5822"/>
    <n v="161"/>
    <x v="67"/>
    <s v="degC"/>
  </r>
  <r>
    <x v="235"/>
    <x v="1"/>
    <s v="0x22"/>
    <s v="0x4300"/>
    <n v="200"/>
    <x v="0"/>
    <s v="degC"/>
  </r>
  <r>
    <x v="236"/>
    <x v="2"/>
    <s v="0x22"/>
    <s v="0x5834"/>
    <n v="25902"/>
    <x v="2"/>
    <s v="hPa"/>
  </r>
  <r>
    <x v="237"/>
    <x v="3"/>
    <s v="0x22"/>
    <s v="0x4411"/>
    <s v="N/A"/>
    <x v="3"/>
    <s v="N/A"/>
  </r>
  <r>
    <x v="238"/>
    <x v="4"/>
    <s v="0x22"/>
    <s v="0x4205"/>
    <n v="12985"/>
    <x v="105"/>
    <s v="hPa"/>
  </r>
  <r>
    <x v="239"/>
    <x v="5"/>
    <s v="0x22"/>
    <s v="0x4807"/>
    <n v="3945"/>
    <x v="106"/>
    <s v="rpm"/>
  </r>
  <r>
    <x v="240"/>
    <x v="6"/>
    <s v="0x22"/>
    <s v="0x5881"/>
    <n v="3"/>
    <x v="95"/>
    <s v="-"/>
  </r>
  <r>
    <x v="241"/>
    <x v="7"/>
    <s v="0x22"/>
    <s v="0x460c"/>
    <n v="602"/>
    <x v="96"/>
    <s v="V"/>
  </r>
  <r>
    <x v="242"/>
    <x v="8"/>
    <s v="0x22"/>
    <s v="0x586f"/>
    <n v="2961"/>
    <x v="107"/>
    <s v="hPa"/>
  </r>
  <r>
    <x v="243"/>
    <x v="9"/>
    <s v="0x22"/>
    <s v="0x5816"/>
    <n v="3890"/>
    <x v="108"/>
    <s v="-"/>
  </r>
  <r>
    <x v="244"/>
    <x v="10"/>
    <s v="0x22"/>
    <s v="0x5889"/>
    <n v="3858"/>
    <x v="34"/>
    <s v="-"/>
  </r>
  <r>
    <x v="245"/>
    <x v="11"/>
    <s v="0x22"/>
    <s v="0x4ab1"/>
    <s v="N/A"/>
    <x v="3"/>
    <s v="N/A"/>
  </r>
  <r>
    <x v="246"/>
    <x v="12"/>
    <s v="0x22"/>
    <s v="0x4811"/>
    <s v="N/A"/>
    <x v="3"/>
    <s v="N/A"/>
  </r>
  <r>
    <x v="247"/>
    <x v="13"/>
    <s v="0x22"/>
    <s v="0x4812"/>
    <s v="N/A"/>
    <x v="3"/>
    <s v="N/A"/>
  </r>
  <r>
    <x v="248"/>
    <x v="14"/>
    <s v="0x22"/>
    <s v="0x58ef"/>
    <n v="12091"/>
    <x v="109"/>
    <s v="MPa"/>
  </r>
  <r>
    <x v="249"/>
    <x v="15"/>
    <s v="0x22"/>
    <s v="0x58b7"/>
    <n v="1"/>
    <x v="6"/>
    <s v="hPa"/>
  </r>
  <r>
    <x v="250"/>
    <x v="16"/>
    <s v="0x22"/>
    <s v="0x5800"/>
    <n v="716"/>
    <x v="110"/>
    <s v="s"/>
  </r>
  <r>
    <x v="251"/>
    <x v="17"/>
    <s v="0x22"/>
    <s v="0x580b"/>
    <n v="24493"/>
    <x v="111"/>
    <s v="hPa"/>
  </r>
  <r>
    <x v="252"/>
    <x v="18"/>
    <s v="0x22"/>
    <s v="0x580f"/>
    <n v="105"/>
    <x v="112"/>
    <s v="degC"/>
  </r>
  <r>
    <x v="253"/>
    <x v="19"/>
    <s v="0x22"/>
    <s v="0x5818"/>
    <n v="15"/>
    <x v="113"/>
    <s v="kg/hr"/>
  </r>
  <r>
    <x v="254"/>
    <x v="20"/>
    <s v="0x22"/>
    <s v="0x4521"/>
    <s v="N/A"/>
    <x v="3"/>
    <s v="N/A"/>
  </r>
  <r>
    <x v="255"/>
    <x v="21"/>
    <s v="0x22"/>
    <s v="0x4abf"/>
    <s v="N/A"/>
    <x v="3"/>
    <s v="N/A"/>
  </r>
  <r>
    <x v="256"/>
    <x v="22"/>
    <s v="0x22"/>
    <s v="0x4ac0"/>
    <s v="N/A"/>
    <x v="3"/>
    <s v="N/A"/>
  </r>
  <r>
    <x v="257"/>
    <x v="23"/>
    <s v="0x22"/>
    <s v="0x4522"/>
    <s v="N/A"/>
    <x v="3"/>
    <s v="N/A"/>
  </r>
  <r>
    <x v="258"/>
    <x v="24"/>
    <s v="0x22"/>
    <s v="0x4403"/>
    <n v="26794"/>
    <x v="104"/>
    <s v="L?"/>
  </r>
  <r>
    <x v="259"/>
    <x v="25"/>
    <s v="0x22"/>
    <s v="0x4a6c"/>
    <s v="N/A"/>
    <x v="3"/>
    <s v="N/A"/>
  </r>
  <r>
    <x v="260"/>
    <x v="0"/>
    <s v="0x22"/>
    <s v="0x5822"/>
    <n v="162"/>
    <x v="0"/>
    <s v="degC"/>
  </r>
  <r>
    <x v="261"/>
    <x v="1"/>
    <s v="0x22"/>
    <s v="0x4300"/>
    <n v="200"/>
    <x v="0"/>
    <s v="degC"/>
  </r>
  <r>
    <x v="262"/>
    <x v="2"/>
    <s v="0x22"/>
    <s v="0x5834"/>
    <n v="25902"/>
    <x v="2"/>
    <s v="hPa"/>
  </r>
  <r>
    <x v="263"/>
    <x v="3"/>
    <s v="0x22"/>
    <s v="0x4411"/>
    <s v="N/A"/>
    <x v="3"/>
    <s v="N/A"/>
  </r>
  <r>
    <x v="264"/>
    <x v="4"/>
    <s v="0x22"/>
    <s v="0x4205"/>
    <n v="13258"/>
    <x v="114"/>
    <s v="hPa"/>
  </r>
  <r>
    <x v="265"/>
    <x v="5"/>
    <s v="0x22"/>
    <s v="0x4807"/>
    <n v="8637"/>
    <x v="115"/>
    <s v="rpm"/>
  </r>
  <r>
    <x v="266"/>
    <x v="6"/>
    <s v="0x22"/>
    <s v="0x5881"/>
    <n v="3"/>
    <x v="95"/>
    <s v="-"/>
  </r>
  <r>
    <x v="267"/>
    <x v="7"/>
    <s v="0x22"/>
    <s v="0x460c"/>
    <n v="602"/>
    <x v="96"/>
    <s v="V"/>
  </r>
  <r>
    <x v="268"/>
    <x v="8"/>
    <s v="0x22"/>
    <s v="0x586f"/>
    <n v="2909"/>
    <x v="116"/>
    <s v="hPa"/>
  </r>
  <r>
    <x v="269"/>
    <x v="9"/>
    <s v="0x22"/>
    <s v="0x5816"/>
    <n v="4100"/>
    <x v="6"/>
    <s v="-"/>
  </r>
  <r>
    <x v="270"/>
    <x v="10"/>
    <s v="0x22"/>
    <s v="0x5889"/>
    <n v="4212"/>
    <x v="22"/>
    <s v="-"/>
  </r>
  <r>
    <x v="271"/>
    <x v="11"/>
    <s v="0x22"/>
    <s v="0x4ab1"/>
    <s v="N/A"/>
    <x v="3"/>
    <s v="N/A"/>
  </r>
  <r>
    <x v="272"/>
    <x v="12"/>
    <s v="0x22"/>
    <s v="0x4811"/>
    <s v="N/A"/>
    <x v="3"/>
    <s v="N/A"/>
  </r>
  <r>
    <x v="273"/>
    <x v="13"/>
    <s v="0x22"/>
    <s v="0x4812"/>
    <s v="N/A"/>
    <x v="3"/>
    <s v="N/A"/>
  </r>
  <r>
    <x v="274"/>
    <x v="14"/>
    <s v="0x22"/>
    <s v="0x58ef"/>
    <n v="10462"/>
    <x v="117"/>
    <s v="MPa"/>
  </r>
  <r>
    <x v="275"/>
    <x v="15"/>
    <s v="0x22"/>
    <s v="0x58b7"/>
    <n v="1"/>
    <x v="6"/>
    <s v="hPa"/>
  </r>
  <r>
    <x v="276"/>
    <x v="16"/>
    <s v="0x22"/>
    <s v="0x5800"/>
    <n v="787"/>
    <x v="118"/>
    <s v="s"/>
  </r>
  <r>
    <x v="277"/>
    <x v="17"/>
    <s v="0x22"/>
    <s v="0x580b"/>
    <n v="24516"/>
    <x v="119"/>
    <s v="hPa"/>
  </r>
  <r>
    <x v="278"/>
    <x v="18"/>
    <s v="0x22"/>
    <s v="0x580f"/>
    <n v="103"/>
    <x v="120"/>
    <s v="degC"/>
  </r>
  <r>
    <x v="279"/>
    <x v="19"/>
    <s v="0x22"/>
    <s v="0x5818"/>
    <n v="4"/>
    <x v="66"/>
    <s v="kg/hr"/>
  </r>
  <r>
    <x v="280"/>
    <x v="20"/>
    <s v="0x22"/>
    <s v="0x4521"/>
    <s v="N/A"/>
    <x v="3"/>
    <s v="N/A"/>
  </r>
  <r>
    <x v="281"/>
    <x v="21"/>
    <s v="0x22"/>
    <s v="0x4abf"/>
    <s v="N/A"/>
    <x v="3"/>
    <s v="N/A"/>
  </r>
  <r>
    <x v="282"/>
    <x v="22"/>
    <s v="0x22"/>
    <s v="0x4ac0"/>
    <s v="N/A"/>
    <x v="3"/>
    <s v="N/A"/>
  </r>
  <r>
    <x v="283"/>
    <x v="23"/>
    <s v="0x22"/>
    <s v="0x4522"/>
    <s v="N/A"/>
    <x v="3"/>
    <s v="N/A"/>
  </r>
  <r>
    <x v="284"/>
    <x v="24"/>
    <s v="0x22"/>
    <s v="0x4403"/>
    <n v="26826"/>
    <x v="104"/>
    <s v="L?"/>
  </r>
  <r>
    <x v="285"/>
    <x v="25"/>
    <s v="0x22"/>
    <s v="0x4a6c"/>
    <s v="N/A"/>
    <x v="3"/>
    <s v="N/A"/>
  </r>
  <r>
    <x v="286"/>
    <x v="0"/>
    <s v="0x22"/>
    <s v="0x5822"/>
    <n v="162"/>
    <x v="0"/>
    <s v="degC"/>
  </r>
  <r>
    <x v="287"/>
    <x v="1"/>
    <s v="0x22"/>
    <s v="0x4300"/>
    <n v="202"/>
    <x v="121"/>
    <s v="degC"/>
  </r>
  <r>
    <x v="288"/>
    <x v="2"/>
    <s v="0x22"/>
    <s v="0x5834"/>
    <n v="25902"/>
    <x v="2"/>
    <s v="hPa"/>
  </r>
  <r>
    <x v="289"/>
    <x v="3"/>
    <s v="0x22"/>
    <s v="0x4411"/>
    <s v="N/A"/>
    <x v="3"/>
    <s v="N/A"/>
  </r>
  <r>
    <x v="290"/>
    <x v="4"/>
    <s v="0x22"/>
    <s v="0x4205"/>
    <n v="13035"/>
    <x v="122"/>
    <s v="hPa"/>
  </r>
  <r>
    <x v="291"/>
    <x v="5"/>
    <s v="0x22"/>
    <s v="0x4807"/>
    <n v="3613"/>
    <x v="123"/>
    <s v="rpm"/>
  </r>
  <r>
    <x v="292"/>
    <x v="6"/>
    <s v="0x22"/>
    <s v="0x5881"/>
    <n v="3"/>
    <x v="95"/>
    <s v="-"/>
  </r>
  <r>
    <x v="293"/>
    <x v="7"/>
    <s v="0x22"/>
    <s v="0x460c"/>
    <n v="601"/>
    <x v="85"/>
    <s v="V"/>
  </r>
  <r>
    <x v="294"/>
    <x v="8"/>
    <s v="0x22"/>
    <s v="0x586f"/>
    <n v="3069"/>
    <x v="124"/>
    <s v="hPa"/>
  </r>
  <r>
    <x v="295"/>
    <x v="9"/>
    <s v="0x22"/>
    <s v="0x5816"/>
    <n v="4152"/>
    <x v="45"/>
    <s v="-"/>
  </r>
  <r>
    <x v="296"/>
    <x v="10"/>
    <s v="0x22"/>
    <s v="0x5889"/>
    <n v="4146"/>
    <x v="45"/>
    <s v="-"/>
  </r>
  <r>
    <x v="297"/>
    <x v="11"/>
    <s v="0x22"/>
    <s v="0x4ab1"/>
    <s v="N/A"/>
    <x v="3"/>
    <s v="N/A"/>
  </r>
  <r>
    <x v="298"/>
    <x v="12"/>
    <s v="0x22"/>
    <s v="0x4811"/>
    <s v="N/A"/>
    <x v="3"/>
    <s v="N/A"/>
  </r>
  <r>
    <x v="299"/>
    <x v="13"/>
    <s v="0x22"/>
    <s v="0x4812"/>
    <s v="N/A"/>
    <x v="3"/>
    <s v="N/A"/>
  </r>
  <r>
    <x v="300"/>
    <x v="14"/>
    <s v="0x22"/>
    <s v="0x58ef"/>
    <n v="10966"/>
    <x v="125"/>
    <s v="MPa"/>
  </r>
  <r>
    <x v="301"/>
    <x v="15"/>
    <s v="0x22"/>
    <s v="0x58b7"/>
    <n v="1"/>
    <x v="6"/>
    <s v="hPa"/>
  </r>
  <r>
    <x v="302"/>
    <x v="16"/>
    <s v="0x22"/>
    <s v="0x5800"/>
    <n v="857"/>
    <x v="126"/>
    <s v="s"/>
  </r>
  <r>
    <x v="303"/>
    <x v="17"/>
    <s v="0x22"/>
    <s v="0x580b"/>
    <n v="23914"/>
    <x v="127"/>
    <s v="hPa"/>
  </r>
  <r>
    <x v="304"/>
    <x v="18"/>
    <s v="0x22"/>
    <s v="0x580f"/>
    <n v="103"/>
    <x v="120"/>
    <s v="degC"/>
  </r>
  <r>
    <x v="305"/>
    <x v="19"/>
    <s v="0x22"/>
    <s v="0x5818"/>
    <n v="15"/>
    <x v="113"/>
    <s v="kg/hr"/>
  </r>
  <r>
    <x v="306"/>
    <x v="20"/>
    <s v="0x22"/>
    <s v="0x4521"/>
    <s v="N/A"/>
    <x v="3"/>
    <s v="N/A"/>
  </r>
  <r>
    <x v="307"/>
    <x v="21"/>
    <s v="0x22"/>
    <s v="0x4abf"/>
    <s v="N/A"/>
    <x v="3"/>
    <s v="N/A"/>
  </r>
  <r>
    <x v="308"/>
    <x v="22"/>
    <s v="0x22"/>
    <s v="0x4ac0"/>
    <s v="N/A"/>
    <x v="3"/>
    <s v="N/A"/>
  </r>
  <r>
    <x v="309"/>
    <x v="23"/>
    <s v="0x22"/>
    <s v="0x4522"/>
    <s v="N/A"/>
    <x v="3"/>
    <s v="N/A"/>
  </r>
  <r>
    <x v="310"/>
    <x v="24"/>
    <s v="0x22"/>
    <s v="0x4403"/>
    <n v="26869"/>
    <x v="128"/>
    <s v="L?"/>
  </r>
  <r>
    <x v="311"/>
    <x v="25"/>
    <s v="0x22"/>
    <s v="0x4a6c"/>
    <s v="N/A"/>
    <x v="3"/>
    <s v="N/A"/>
  </r>
  <r>
    <x v="312"/>
    <x v="0"/>
    <s v="0x22"/>
    <s v="0x5822"/>
    <n v="162"/>
    <x v="0"/>
    <s v="degC"/>
  </r>
  <r>
    <x v="313"/>
    <x v="1"/>
    <s v="0x22"/>
    <s v="0x4300"/>
    <n v="203"/>
    <x v="129"/>
    <s v="degC"/>
  </r>
  <r>
    <x v="314"/>
    <x v="2"/>
    <s v="0x22"/>
    <s v="0x5834"/>
    <n v="25902"/>
    <x v="2"/>
    <s v="hPa"/>
  </r>
  <r>
    <x v="315"/>
    <x v="3"/>
    <s v="0x22"/>
    <s v="0x4411"/>
    <s v="N/A"/>
    <x v="3"/>
    <s v="N/A"/>
  </r>
  <r>
    <x v="316"/>
    <x v="4"/>
    <s v="0x22"/>
    <s v="0x4205"/>
    <n v="13270"/>
    <x v="130"/>
    <s v="hPa"/>
  </r>
  <r>
    <x v="317"/>
    <x v="5"/>
    <s v="0x22"/>
    <s v="0x4807"/>
    <n v="8511"/>
    <x v="131"/>
    <s v="rpm"/>
  </r>
  <r>
    <x v="318"/>
    <x v="6"/>
    <s v="0x22"/>
    <s v="0x5881"/>
    <n v="3"/>
    <x v="95"/>
    <s v="-"/>
  </r>
  <r>
    <x v="319"/>
    <x v="7"/>
    <s v="0x22"/>
    <s v="0x460c"/>
    <n v="603"/>
    <x v="52"/>
    <s v="V"/>
  </r>
  <r>
    <x v="320"/>
    <x v="8"/>
    <s v="0x22"/>
    <s v="0x586f"/>
    <n v="2839"/>
    <x v="132"/>
    <s v="hPa"/>
  </r>
  <r>
    <x v="321"/>
    <x v="9"/>
    <s v="0x22"/>
    <s v="0x5816"/>
    <n v="4099"/>
    <x v="6"/>
    <s v="-"/>
  </r>
  <r>
    <x v="322"/>
    <x v="10"/>
    <s v="0x22"/>
    <s v="0x5889"/>
    <n v="3967"/>
    <x v="133"/>
    <s v="-"/>
  </r>
  <r>
    <x v="323"/>
    <x v="11"/>
    <s v="0x22"/>
    <s v="0x4ab1"/>
    <s v="N/A"/>
    <x v="3"/>
    <s v="N/A"/>
  </r>
  <r>
    <x v="324"/>
    <x v="12"/>
    <s v="0x22"/>
    <s v="0x4811"/>
    <s v="N/A"/>
    <x v="3"/>
    <s v="N/A"/>
  </r>
  <r>
    <x v="325"/>
    <x v="13"/>
    <s v="0x22"/>
    <s v="0x4812"/>
    <s v="N/A"/>
    <x v="3"/>
    <s v="N/A"/>
  </r>
  <r>
    <x v="326"/>
    <x v="14"/>
    <s v="0x22"/>
    <s v="0x58ef"/>
    <n v="10405"/>
    <x v="134"/>
    <s v="MPa"/>
  </r>
  <r>
    <x v="327"/>
    <x v="15"/>
    <s v="0x22"/>
    <s v="0x58b7"/>
    <n v="2"/>
    <x v="43"/>
    <s v="hPa"/>
  </r>
  <r>
    <x v="328"/>
    <x v="16"/>
    <s v="0x22"/>
    <s v="0x5800"/>
    <n v="929"/>
    <x v="135"/>
    <s v="s"/>
  </r>
  <r>
    <x v="329"/>
    <x v="17"/>
    <s v="0x22"/>
    <s v="0x580b"/>
    <n v="24487"/>
    <x v="136"/>
    <s v="hPa"/>
  </r>
  <r>
    <x v="330"/>
    <x v="18"/>
    <s v="0x22"/>
    <s v="0x580f"/>
    <n v="101"/>
    <x v="137"/>
    <s v="degC"/>
  </r>
  <r>
    <x v="331"/>
    <x v="19"/>
    <s v="0x22"/>
    <s v="0x5818"/>
    <n v="4"/>
    <x v="66"/>
    <s v="kg/hr"/>
  </r>
  <r>
    <x v="332"/>
    <x v="20"/>
    <s v="0x22"/>
    <s v="0x4521"/>
    <s v="N/A"/>
    <x v="3"/>
    <s v="N/A"/>
  </r>
  <r>
    <x v="333"/>
    <x v="21"/>
    <s v="0x22"/>
    <s v="0x4abf"/>
    <s v="N/A"/>
    <x v="3"/>
    <s v="N/A"/>
  </r>
  <r>
    <x v="334"/>
    <x v="22"/>
    <s v="0x22"/>
    <s v="0x4ac0"/>
    <s v="N/A"/>
    <x v="3"/>
    <s v="N/A"/>
  </r>
  <r>
    <x v="335"/>
    <x v="23"/>
    <s v="0x22"/>
    <s v="0x4522"/>
    <s v="N/A"/>
    <x v="3"/>
    <s v="N/A"/>
  </r>
  <r>
    <x v="336"/>
    <x v="24"/>
    <s v="0x22"/>
    <s v="0x4403"/>
    <n v="26893"/>
    <x v="128"/>
    <s v="L?"/>
  </r>
  <r>
    <x v="337"/>
    <x v="25"/>
    <s v="0x22"/>
    <s v="0x4a6c"/>
    <s v="N/A"/>
    <x v="3"/>
    <s v="N/A"/>
  </r>
  <r>
    <x v="338"/>
    <x v="0"/>
    <s v="0x22"/>
    <s v="0x5822"/>
    <n v="162"/>
    <x v="0"/>
    <s v="degC"/>
  </r>
  <r>
    <x v="339"/>
    <x v="1"/>
    <s v="0x22"/>
    <s v="0x4300"/>
    <n v="204"/>
    <x v="138"/>
    <s v="degC"/>
  </r>
  <r>
    <x v="340"/>
    <x v="2"/>
    <s v="0x22"/>
    <s v="0x5834"/>
    <n v="25902"/>
    <x v="2"/>
    <s v="hPa"/>
  </r>
  <r>
    <x v="341"/>
    <x v="3"/>
    <s v="0x22"/>
    <s v="0x4411"/>
    <s v="N/A"/>
    <x v="3"/>
    <s v="N/A"/>
  </r>
  <r>
    <x v="342"/>
    <x v="4"/>
    <s v="0x22"/>
    <s v="0x4205"/>
    <n v="12928"/>
    <x v="139"/>
    <s v="hPa"/>
  </r>
  <r>
    <x v="343"/>
    <x v="5"/>
    <s v="0x22"/>
    <s v="0x4807"/>
    <n v="3727"/>
    <x v="140"/>
    <s v="rpm"/>
  </r>
  <r>
    <x v="344"/>
    <x v="6"/>
    <s v="0x22"/>
    <s v="0x5881"/>
    <n v="3"/>
    <x v="95"/>
    <s v="-"/>
  </r>
  <r>
    <x v="345"/>
    <x v="7"/>
    <s v="0x22"/>
    <s v="0x460c"/>
    <n v="600"/>
    <x v="141"/>
    <s v="V"/>
  </r>
  <r>
    <x v="346"/>
    <x v="8"/>
    <s v="0x22"/>
    <s v="0x586f"/>
    <n v="2921"/>
    <x v="142"/>
    <s v="hPa"/>
  </r>
  <r>
    <x v="347"/>
    <x v="9"/>
    <s v="0x22"/>
    <s v="0x5816"/>
    <n v="3698"/>
    <x v="143"/>
    <s v="-"/>
  </r>
  <r>
    <x v="348"/>
    <x v="10"/>
    <s v="0x22"/>
    <s v="0x5889"/>
    <n v="3636"/>
    <x v="144"/>
    <s v="-"/>
  </r>
  <r>
    <x v="349"/>
    <x v="11"/>
    <s v="0x22"/>
    <s v="0x4ab1"/>
    <s v="N/A"/>
    <x v="3"/>
    <s v="N/A"/>
  </r>
  <r>
    <x v="350"/>
    <x v="12"/>
    <s v="0x22"/>
    <s v="0x4811"/>
    <s v="N/A"/>
    <x v="3"/>
    <s v="N/A"/>
  </r>
  <r>
    <x v="351"/>
    <x v="13"/>
    <s v="0x22"/>
    <s v="0x4812"/>
    <s v="N/A"/>
    <x v="3"/>
    <s v="N/A"/>
  </r>
  <r>
    <x v="352"/>
    <x v="14"/>
    <s v="0x22"/>
    <s v="0x58ef"/>
    <n v="14315"/>
    <x v="145"/>
    <s v="MPa"/>
  </r>
  <r>
    <x v="353"/>
    <x v="15"/>
    <s v="0x22"/>
    <s v="0x58b7"/>
    <n v="1"/>
    <x v="6"/>
    <s v="hPa"/>
  </r>
  <r>
    <x v="354"/>
    <x v="16"/>
    <s v="0x22"/>
    <s v="0x5800"/>
    <n v="998"/>
    <x v="146"/>
    <s v="s"/>
  </r>
  <r>
    <x v="355"/>
    <x v="17"/>
    <s v="0x22"/>
    <s v="0x580b"/>
    <n v="24433"/>
    <x v="147"/>
    <s v="hPa"/>
  </r>
  <r>
    <x v="356"/>
    <x v="18"/>
    <s v="0x22"/>
    <s v="0x580f"/>
    <n v="101"/>
    <x v="137"/>
    <s v="degC"/>
  </r>
  <r>
    <x v="357"/>
    <x v="19"/>
    <s v="0x22"/>
    <s v="0x5818"/>
    <n v="6"/>
    <x v="148"/>
    <s v="kg/hr"/>
  </r>
  <r>
    <x v="358"/>
    <x v="20"/>
    <s v="0x22"/>
    <s v="0x4521"/>
    <s v="N/A"/>
    <x v="3"/>
    <s v="N/A"/>
  </r>
  <r>
    <x v="359"/>
    <x v="21"/>
    <s v="0x22"/>
    <s v="0x4abf"/>
    <s v="N/A"/>
    <x v="3"/>
    <s v="N/A"/>
  </r>
  <r>
    <x v="360"/>
    <x v="22"/>
    <s v="0x22"/>
    <s v="0x4ac0"/>
    <s v="N/A"/>
    <x v="3"/>
    <s v="N/A"/>
  </r>
  <r>
    <x v="361"/>
    <x v="23"/>
    <s v="0x22"/>
    <s v="0x4522"/>
    <s v="N/A"/>
    <x v="3"/>
    <s v="N/A"/>
  </r>
  <r>
    <x v="362"/>
    <x v="24"/>
    <s v="0x22"/>
    <s v="0x4403"/>
    <n v="26932"/>
    <x v="149"/>
    <s v="L?"/>
  </r>
  <r>
    <x v="363"/>
    <x v="25"/>
    <s v="0x22"/>
    <s v="0x4a6c"/>
    <s v="N/A"/>
    <x v="3"/>
    <s v="N/A"/>
  </r>
  <r>
    <x v="364"/>
    <x v="0"/>
    <s v="0x22"/>
    <s v="0x5822"/>
    <n v="162"/>
    <x v="0"/>
    <s v="degC"/>
  </r>
  <r>
    <x v="365"/>
    <x v="1"/>
    <s v="0x22"/>
    <s v="0x4300"/>
    <n v="205"/>
    <x v="150"/>
    <s v="degC"/>
  </r>
  <r>
    <x v="366"/>
    <x v="2"/>
    <s v="0x22"/>
    <s v="0x5834"/>
    <n v="25902"/>
    <x v="2"/>
    <s v="hPa"/>
  </r>
  <r>
    <x v="367"/>
    <x v="3"/>
    <s v="0x22"/>
    <s v="0x4411"/>
    <s v="N/A"/>
    <x v="3"/>
    <s v="N/A"/>
  </r>
  <r>
    <x v="368"/>
    <x v="4"/>
    <s v="0x22"/>
    <s v="0x4205"/>
    <n v="13029"/>
    <x v="151"/>
    <s v="hPa"/>
  </r>
  <r>
    <x v="369"/>
    <x v="5"/>
    <s v="0x22"/>
    <s v="0x4807"/>
    <n v="4119"/>
    <x v="152"/>
    <s v="rpm"/>
  </r>
  <r>
    <x v="370"/>
    <x v="6"/>
    <s v="0x22"/>
    <s v="0x5881"/>
    <n v="3"/>
    <x v="95"/>
    <s v="-"/>
  </r>
  <r>
    <x v="371"/>
    <x v="7"/>
    <s v="0x22"/>
    <s v="0x460c"/>
    <n v="602"/>
    <x v="96"/>
    <s v="V"/>
  </r>
  <r>
    <x v="372"/>
    <x v="8"/>
    <s v="0x22"/>
    <s v="0x586f"/>
    <n v="12"/>
    <x v="27"/>
    <s v="hPa"/>
  </r>
  <r>
    <x v="373"/>
    <x v="9"/>
    <s v="0x22"/>
    <s v="0x5816"/>
    <n v="4447"/>
    <x v="153"/>
    <s v="-"/>
  </r>
  <r>
    <x v="374"/>
    <x v="10"/>
    <s v="0x22"/>
    <s v="0x5889"/>
    <n v="3927"/>
    <x v="154"/>
    <s v="-"/>
  </r>
  <r>
    <x v="375"/>
    <x v="11"/>
    <s v="0x22"/>
    <s v="0x4ab1"/>
    <s v="N/A"/>
    <x v="3"/>
    <s v="N/A"/>
  </r>
  <r>
    <x v="376"/>
    <x v="12"/>
    <s v="0x22"/>
    <s v="0x4811"/>
    <s v="N/A"/>
    <x v="3"/>
    <s v="N/A"/>
  </r>
  <r>
    <x v="377"/>
    <x v="13"/>
    <s v="0x22"/>
    <s v="0x4812"/>
    <s v="N/A"/>
    <x v="3"/>
    <s v="N/A"/>
  </r>
  <r>
    <x v="378"/>
    <x v="14"/>
    <s v="0x22"/>
    <s v="0x58ef"/>
    <n v="9565"/>
    <x v="46"/>
    <s v="MPa"/>
  </r>
  <r>
    <x v="379"/>
    <x v="15"/>
    <s v="0x22"/>
    <s v="0x58b7"/>
    <n v="1"/>
    <x v="6"/>
    <s v="hPa"/>
  </r>
  <r>
    <x v="380"/>
    <x v="16"/>
    <s v="0x22"/>
    <s v="0x5800"/>
    <n v="1070"/>
    <x v="155"/>
    <s v="s"/>
  </r>
  <r>
    <x v="381"/>
    <x v="17"/>
    <s v="0x22"/>
    <s v="0x580b"/>
    <n v="25517"/>
    <x v="156"/>
    <s v="hPa"/>
  </r>
  <r>
    <x v="382"/>
    <x v="18"/>
    <s v="0x22"/>
    <s v="0x580f"/>
    <n v="101"/>
    <x v="137"/>
    <s v="degC"/>
  </r>
  <r>
    <x v="383"/>
    <x v="19"/>
    <s v="0x22"/>
    <s v="0x5818"/>
    <n v="14"/>
    <x v="157"/>
    <s v="kg/hr"/>
  </r>
  <r>
    <x v="384"/>
    <x v="20"/>
    <s v="0x22"/>
    <s v="0x4521"/>
    <s v="N/A"/>
    <x v="3"/>
    <s v="N/A"/>
  </r>
  <r>
    <x v="385"/>
    <x v="21"/>
    <s v="0x22"/>
    <s v="0x4abf"/>
    <s v="N/A"/>
    <x v="3"/>
    <s v="N/A"/>
  </r>
  <r>
    <x v="386"/>
    <x v="22"/>
    <s v="0x22"/>
    <s v="0x4ac0"/>
    <s v="N/A"/>
    <x v="3"/>
    <s v="N/A"/>
  </r>
  <r>
    <x v="387"/>
    <x v="23"/>
    <s v="0x22"/>
    <s v="0x4522"/>
    <s v="N/A"/>
    <x v="3"/>
    <s v="N/A"/>
  </r>
  <r>
    <x v="388"/>
    <x v="24"/>
    <s v="0x22"/>
    <s v="0x4403"/>
    <n v="26964"/>
    <x v="149"/>
    <s v="L?"/>
  </r>
  <r>
    <x v="389"/>
    <x v="25"/>
    <s v="0x22"/>
    <s v="0x4a6c"/>
    <s v="N/A"/>
    <x v="3"/>
    <s v="N/A"/>
  </r>
  <r>
    <x v="390"/>
    <x v="0"/>
    <s v="0x22"/>
    <s v="0x5822"/>
    <n v="162"/>
    <x v="0"/>
    <s v="degC"/>
  </r>
  <r>
    <x v="391"/>
    <x v="1"/>
    <s v="0x22"/>
    <s v="0x4300"/>
    <n v="204"/>
    <x v="138"/>
    <s v="degC"/>
  </r>
  <r>
    <x v="392"/>
    <x v="2"/>
    <s v="0x22"/>
    <s v="0x5834"/>
    <n v="25902"/>
    <x v="2"/>
    <s v="hPa"/>
  </r>
  <r>
    <x v="393"/>
    <x v="3"/>
    <s v="0x22"/>
    <s v="0x4411"/>
    <s v="N/A"/>
    <x v="3"/>
    <s v="N/A"/>
  </r>
  <r>
    <x v="394"/>
    <x v="4"/>
    <s v="0x22"/>
    <s v="0x4205"/>
    <n v="13129"/>
    <x v="158"/>
    <s v="hPa"/>
  </r>
  <r>
    <x v="395"/>
    <x v="5"/>
    <s v="0x22"/>
    <s v="0x4807"/>
    <n v="5871"/>
    <x v="159"/>
    <s v="rpm"/>
  </r>
  <r>
    <x v="396"/>
    <x v="6"/>
    <s v="0x22"/>
    <s v="0x5881"/>
    <n v="3"/>
    <x v="95"/>
    <s v="-"/>
  </r>
  <r>
    <x v="397"/>
    <x v="7"/>
    <s v="0x22"/>
    <s v="0x460c"/>
    <n v="600"/>
    <x v="141"/>
    <s v="V"/>
  </r>
  <r>
    <x v="398"/>
    <x v="8"/>
    <s v="0x22"/>
    <s v="0x586f"/>
    <n v="2883"/>
    <x v="160"/>
    <s v="hPa"/>
  </r>
  <r>
    <x v="399"/>
    <x v="9"/>
    <s v="0x22"/>
    <s v="0x5816"/>
    <n v="8644"/>
    <x v="161"/>
    <s v="-"/>
  </r>
  <r>
    <x v="400"/>
    <x v="10"/>
    <s v="0x22"/>
    <s v="0x5889"/>
    <n v="8766"/>
    <x v="162"/>
    <s v="-"/>
  </r>
  <r>
    <x v="401"/>
    <x v="11"/>
    <s v="0x22"/>
    <s v="0x4ab1"/>
    <s v="N/A"/>
    <x v="3"/>
    <s v="N/A"/>
  </r>
  <r>
    <x v="402"/>
    <x v="12"/>
    <s v="0x22"/>
    <s v="0x4811"/>
    <s v="N/A"/>
    <x v="3"/>
    <s v="N/A"/>
  </r>
  <r>
    <x v="403"/>
    <x v="13"/>
    <s v="0x22"/>
    <s v="0x4812"/>
    <s v="N/A"/>
    <x v="3"/>
    <s v="N/A"/>
  </r>
  <r>
    <x v="404"/>
    <x v="14"/>
    <s v="0x22"/>
    <s v="0x58ef"/>
    <n v="11004"/>
    <x v="163"/>
    <s v="MPa"/>
  </r>
  <r>
    <x v="405"/>
    <x v="15"/>
    <s v="0x22"/>
    <s v="0x58b7"/>
    <n v="1"/>
    <x v="6"/>
    <s v="hPa"/>
  </r>
  <r>
    <x v="406"/>
    <x v="16"/>
    <s v="0x22"/>
    <s v="0x5800"/>
    <n v="1140"/>
    <x v="164"/>
    <s v="s"/>
  </r>
  <r>
    <x v="407"/>
    <x v="17"/>
    <s v="0x22"/>
    <s v="0x580b"/>
    <n v="24436"/>
    <x v="165"/>
    <s v="hPa"/>
  </r>
  <r>
    <x v="408"/>
    <x v="18"/>
    <s v="0x22"/>
    <s v="0x580f"/>
    <n v="101"/>
    <x v="137"/>
    <s v="degC"/>
  </r>
  <r>
    <x v="409"/>
    <x v="19"/>
    <s v="0x22"/>
    <s v="0x5818"/>
    <n v="10"/>
    <x v="166"/>
    <s v="kg/hr"/>
  </r>
  <r>
    <x v="410"/>
    <x v="20"/>
    <s v="0x22"/>
    <s v="0x4521"/>
    <s v="N/A"/>
    <x v="3"/>
    <s v="N/A"/>
  </r>
  <r>
    <x v="411"/>
    <x v="21"/>
    <s v="0x22"/>
    <s v="0x4abf"/>
    <s v="N/A"/>
    <x v="3"/>
    <s v="N/A"/>
  </r>
  <r>
    <x v="412"/>
    <x v="22"/>
    <s v="0x22"/>
    <s v="0x4ac0"/>
    <s v="N/A"/>
    <x v="3"/>
    <s v="N/A"/>
  </r>
  <r>
    <x v="413"/>
    <x v="23"/>
    <s v="0x22"/>
    <s v="0x4522"/>
    <s v="N/A"/>
    <x v="3"/>
    <s v="N/A"/>
  </r>
  <r>
    <x v="414"/>
    <x v="24"/>
    <s v="0x22"/>
    <s v="0x4403"/>
    <n v="26999"/>
    <x v="167"/>
    <s v="L?"/>
  </r>
  <r>
    <x v="415"/>
    <x v="25"/>
    <s v="0x22"/>
    <s v="0x4a6c"/>
    <s v="N/A"/>
    <x v="3"/>
    <s v="N/A"/>
  </r>
  <r>
    <x v="416"/>
    <x v="0"/>
    <s v="0x22"/>
    <s v="0x5822"/>
    <n v="162"/>
    <x v="0"/>
    <s v="degC"/>
  </r>
  <r>
    <x v="417"/>
    <x v="1"/>
    <s v="0x22"/>
    <s v="0x4300"/>
    <n v="203"/>
    <x v="129"/>
    <s v="degC"/>
  </r>
  <r>
    <x v="418"/>
    <x v="2"/>
    <s v="0x22"/>
    <s v="0x5834"/>
    <n v="25902"/>
    <x v="2"/>
    <s v="hPa"/>
  </r>
  <r>
    <x v="419"/>
    <x v="3"/>
    <s v="0x22"/>
    <s v="0x4411"/>
    <s v="N/A"/>
    <x v="3"/>
    <s v="N/A"/>
  </r>
  <r>
    <x v="420"/>
    <x v="4"/>
    <s v="0x22"/>
    <s v="0x4205"/>
    <n v="13428"/>
    <x v="168"/>
    <s v="hPa"/>
  </r>
  <r>
    <x v="421"/>
    <x v="5"/>
    <s v="0x22"/>
    <s v="0x4807"/>
    <n v="7655"/>
    <x v="169"/>
    <s v="rpm"/>
  </r>
  <r>
    <x v="422"/>
    <x v="6"/>
    <s v="0x22"/>
    <s v="0x5881"/>
    <n v="3"/>
    <x v="95"/>
    <s v="-"/>
  </r>
  <r>
    <x v="423"/>
    <x v="7"/>
    <s v="0x22"/>
    <s v="0x460c"/>
    <n v="603"/>
    <x v="52"/>
    <s v="V"/>
  </r>
  <r>
    <x v="424"/>
    <x v="8"/>
    <s v="0x22"/>
    <s v="0x586f"/>
    <n v="3034"/>
    <x v="170"/>
    <s v="hPa"/>
  </r>
  <r>
    <x v="425"/>
    <x v="9"/>
    <s v="0x22"/>
    <s v="0x5816"/>
    <n v="13585"/>
    <x v="171"/>
    <s v="-"/>
  </r>
  <r>
    <x v="426"/>
    <x v="10"/>
    <s v="0x22"/>
    <s v="0x5889"/>
    <n v="31157"/>
    <x v="172"/>
    <s v="-"/>
  </r>
  <r>
    <x v="427"/>
    <x v="11"/>
    <s v="0x22"/>
    <s v="0x4ab1"/>
    <s v="N/A"/>
    <x v="3"/>
    <s v="N/A"/>
  </r>
  <r>
    <x v="428"/>
    <x v="12"/>
    <s v="0x22"/>
    <s v="0x4811"/>
    <s v="N/A"/>
    <x v="3"/>
    <s v="N/A"/>
  </r>
  <r>
    <x v="429"/>
    <x v="13"/>
    <s v="0x22"/>
    <s v="0x4812"/>
    <s v="N/A"/>
    <x v="3"/>
    <s v="N/A"/>
  </r>
  <r>
    <x v="430"/>
    <x v="14"/>
    <s v="0x22"/>
    <s v="0x58ef"/>
    <n v="9410"/>
    <x v="10"/>
    <s v="MPa"/>
  </r>
  <r>
    <x v="431"/>
    <x v="15"/>
    <s v="0x22"/>
    <s v="0x58b7"/>
    <n v="8"/>
    <x v="14"/>
    <s v="hPa"/>
  </r>
  <r>
    <x v="432"/>
    <x v="16"/>
    <s v="0x22"/>
    <s v="0x5800"/>
    <n v="1210"/>
    <x v="173"/>
    <s v="s"/>
  </r>
  <r>
    <x v="433"/>
    <x v="17"/>
    <s v="0x22"/>
    <s v="0x580b"/>
    <n v="24506"/>
    <x v="174"/>
    <s v="hPa"/>
  </r>
  <r>
    <x v="434"/>
    <x v="18"/>
    <s v="0x22"/>
    <s v="0x580f"/>
    <n v="100"/>
    <x v="175"/>
    <s v="degC"/>
  </r>
  <r>
    <x v="435"/>
    <x v="19"/>
    <s v="0x22"/>
    <s v="0x5818"/>
    <n v="3"/>
    <x v="27"/>
    <s v="kg/hr"/>
  </r>
  <r>
    <x v="436"/>
    <x v="20"/>
    <s v="0x22"/>
    <s v="0x4521"/>
    <s v="N/A"/>
    <x v="3"/>
    <s v="N/A"/>
  </r>
  <r>
    <x v="437"/>
    <x v="21"/>
    <s v="0x22"/>
    <s v="0x4abf"/>
    <s v="N/A"/>
    <x v="3"/>
    <s v="N/A"/>
  </r>
  <r>
    <x v="438"/>
    <x v="22"/>
    <s v="0x22"/>
    <s v="0x4ac0"/>
    <s v="N/A"/>
    <x v="3"/>
    <s v="N/A"/>
  </r>
  <r>
    <x v="439"/>
    <x v="23"/>
    <s v="0x22"/>
    <s v="0x4522"/>
    <s v="N/A"/>
    <x v="3"/>
    <s v="N/A"/>
  </r>
  <r>
    <x v="440"/>
    <x v="24"/>
    <s v="0x22"/>
    <s v="0x4403"/>
    <n v="27025"/>
    <x v="167"/>
    <s v="L?"/>
  </r>
  <r>
    <x v="441"/>
    <x v="25"/>
    <s v="0x22"/>
    <s v="0x4a6c"/>
    <s v="N/A"/>
    <x v="3"/>
    <s v="N/A"/>
  </r>
  <r>
    <x v="442"/>
    <x v="0"/>
    <s v="0x22"/>
    <s v="0x5822"/>
    <n v="162"/>
    <x v="0"/>
    <s v="degC"/>
  </r>
  <r>
    <x v="443"/>
    <x v="1"/>
    <s v="0x22"/>
    <s v="0x4300"/>
    <n v="202"/>
    <x v="121"/>
    <s v="degC"/>
  </r>
  <r>
    <x v="444"/>
    <x v="2"/>
    <s v="0x22"/>
    <s v="0x5834"/>
    <n v="25902"/>
    <x v="2"/>
    <s v="hPa"/>
  </r>
  <r>
    <x v="445"/>
    <x v="3"/>
    <s v="0x22"/>
    <s v="0x4411"/>
    <s v="N/A"/>
    <x v="3"/>
    <s v="N/A"/>
  </r>
  <r>
    <x v="446"/>
    <x v="4"/>
    <s v="0x22"/>
    <s v="0x4205"/>
    <n v="13538"/>
    <x v="176"/>
    <s v="hPa"/>
  </r>
  <r>
    <x v="447"/>
    <x v="5"/>
    <s v="0x22"/>
    <s v="0x4807"/>
    <n v="6507"/>
    <x v="177"/>
    <s v="rpm"/>
  </r>
  <r>
    <x v="448"/>
    <x v="6"/>
    <s v="0x22"/>
    <s v="0x5881"/>
    <n v="3"/>
    <x v="95"/>
    <s v="-"/>
  </r>
  <r>
    <x v="449"/>
    <x v="7"/>
    <s v="0x22"/>
    <s v="0x460c"/>
    <n v="603"/>
    <x v="52"/>
    <s v="V"/>
  </r>
  <r>
    <x v="450"/>
    <x v="8"/>
    <s v="0x22"/>
    <s v="0x586f"/>
    <n v="3163"/>
    <x v="178"/>
    <s v="hPa"/>
  </r>
  <r>
    <x v="451"/>
    <x v="9"/>
    <s v="0x22"/>
    <s v="0x5816"/>
    <n v="4085"/>
    <x v="6"/>
    <s v="-"/>
  </r>
  <r>
    <x v="452"/>
    <x v="10"/>
    <s v="0x22"/>
    <s v="0x5889"/>
    <n v="3955"/>
    <x v="133"/>
    <s v="-"/>
  </r>
  <r>
    <x v="453"/>
    <x v="11"/>
    <s v="0x22"/>
    <s v="0x4ab1"/>
    <s v="N/A"/>
    <x v="3"/>
    <s v="N/A"/>
  </r>
  <r>
    <x v="454"/>
    <x v="12"/>
    <s v="0x22"/>
    <s v="0x4811"/>
    <s v="N/A"/>
    <x v="3"/>
    <s v="N/A"/>
  </r>
  <r>
    <x v="455"/>
    <x v="13"/>
    <s v="0x22"/>
    <s v="0x4812"/>
    <s v="N/A"/>
    <x v="3"/>
    <s v="N/A"/>
  </r>
  <r>
    <x v="456"/>
    <x v="14"/>
    <s v="0x22"/>
    <s v="0x58ef"/>
    <n v="3738"/>
    <x v="179"/>
    <s v="MPa"/>
  </r>
  <r>
    <x v="457"/>
    <x v="15"/>
    <s v="0x22"/>
    <s v="0x58b7"/>
    <n v="1"/>
    <x v="6"/>
    <s v="hPa"/>
  </r>
  <r>
    <x v="458"/>
    <x v="16"/>
    <s v="0x22"/>
    <s v="0x5800"/>
    <n v="1280"/>
    <x v="180"/>
    <s v="s"/>
  </r>
  <r>
    <x v="459"/>
    <x v="17"/>
    <s v="0x22"/>
    <s v="0x580b"/>
    <n v="24458"/>
    <x v="181"/>
    <s v="hPa"/>
  </r>
  <r>
    <x v="460"/>
    <x v="18"/>
    <s v="0x22"/>
    <s v="0x580f"/>
    <n v="100"/>
    <x v="175"/>
    <s v="degC"/>
  </r>
  <r>
    <x v="461"/>
    <x v="19"/>
    <s v="0x22"/>
    <s v="0x5818"/>
    <n v="5"/>
    <x v="182"/>
    <s v="kg/hr"/>
  </r>
  <r>
    <x v="462"/>
    <x v="20"/>
    <s v="0x22"/>
    <s v="0x4521"/>
    <s v="N/A"/>
    <x v="3"/>
    <s v="N/A"/>
  </r>
  <r>
    <x v="463"/>
    <x v="21"/>
    <s v="0x22"/>
    <s v="0x4abf"/>
    <s v="N/A"/>
    <x v="3"/>
    <s v="N/A"/>
  </r>
  <r>
    <x v="464"/>
    <x v="22"/>
    <s v="0x22"/>
    <s v="0x4ac0"/>
    <s v="N/A"/>
    <x v="3"/>
    <s v="N/A"/>
  </r>
  <r>
    <x v="465"/>
    <x v="23"/>
    <s v="0x22"/>
    <s v="0x4522"/>
    <s v="N/A"/>
    <x v="3"/>
    <s v="N/A"/>
  </r>
  <r>
    <x v="466"/>
    <x v="24"/>
    <s v="0x22"/>
    <s v="0x4403"/>
    <n v="27081"/>
    <x v="183"/>
    <s v="L?"/>
  </r>
  <r>
    <x v="467"/>
    <x v="25"/>
    <s v="0x22"/>
    <s v="0x4a6c"/>
    <s v="N/A"/>
    <x v="3"/>
    <s v="N/A"/>
  </r>
  <r>
    <x v="468"/>
    <x v="0"/>
    <s v="0x22"/>
    <s v="0x5822"/>
    <n v="162"/>
    <x v="0"/>
    <s v="degC"/>
  </r>
  <r>
    <x v="469"/>
    <x v="1"/>
    <s v="0x22"/>
    <s v="0x4300"/>
    <n v="201"/>
    <x v="1"/>
    <s v="degC"/>
  </r>
  <r>
    <x v="470"/>
    <x v="2"/>
    <s v="0x22"/>
    <s v="0x5834"/>
    <n v="25902"/>
    <x v="2"/>
    <s v="hPa"/>
  </r>
  <r>
    <x v="471"/>
    <x v="3"/>
    <s v="0x22"/>
    <s v="0x4411"/>
    <s v="N/A"/>
    <x v="3"/>
    <s v="N/A"/>
  </r>
  <r>
    <x v="472"/>
    <x v="4"/>
    <s v="0x22"/>
    <s v="0x4205"/>
    <n v="12988"/>
    <x v="184"/>
    <s v="hPa"/>
  </r>
  <r>
    <x v="473"/>
    <x v="5"/>
    <s v="0x22"/>
    <s v="0x4807"/>
    <n v="6167"/>
    <x v="185"/>
    <s v="rpm"/>
  </r>
  <r>
    <x v="474"/>
    <x v="6"/>
    <s v="0x22"/>
    <s v="0x5881"/>
    <n v="4"/>
    <x v="84"/>
    <s v="-"/>
  </r>
  <r>
    <x v="475"/>
    <x v="7"/>
    <s v="0x22"/>
    <s v="0x460c"/>
    <n v="601"/>
    <x v="85"/>
    <s v="V"/>
  </r>
  <r>
    <x v="476"/>
    <x v="8"/>
    <s v="0x22"/>
    <s v="0x586f"/>
    <n v="2744"/>
    <x v="186"/>
    <s v="hPa"/>
  </r>
  <r>
    <x v="477"/>
    <x v="9"/>
    <s v="0x22"/>
    <s v="0x5816"/>
    <n v="3698"/>
    <x v="143"/>
    <s v="-"/>
  </r>
  <r>
    <x v="478"/>
    <x v="10"/>
    <s v="0x22"/>
    <s v="0x5889"/>
    <n v="3719"/>
    <x v="98"/>
    <s v="-"/>
  </r>
  <r>
    <x v="479"/>
    <x v="11"/>
    <s v="0x22"/>
    <s v="0x4ab1"/>
    <s v="N/A"/>
    <x v="3"/>
    <s v="N/A"/>
  </r>
  <r>
    <x v="480"/>
    <x v="12"/>
    <s v="0x22"/>
    <s v="0x4811"/>
    <s v="N/A"/>
    <x v="3"/>
    <s v="N/A"/>
  </r>
  <r>
    <x v="481"/>
    <x v="13"/>
    <s v="0x22"/>
    <s v="0x4812"/>
    <s v="N/A"/>
    <x v="3"/>
    <s v="N/A"/>
  </r>
  <r>
    <x v="482"/>
    <x v="14"/>
    <s v="0x22"/>
    <s v="0x58ef"/>
    <n v="10386"/>
    <x v="187"/>
    <s v="MPa"/>
  </r>
  <r>
    <x v="483"/>
    <x v="15"/>
    <s v="0x22"/>
    <s v="0x58b7"/>
    <n v="1"/>
    <x v="6"/>
    <s v="hPa"/>
  </r>
  <r>
    <x v="484"/>
    <x v="16"/>
    <s v="0x22"/>
    <s v="0x5800"/>
    <n v="1350"/>
    <x v="188"/>
    <s v="s"/>
  </r>
  <r>
    <x v="485"/>
    <x v="17"/>
    <s v="0x22"/>
    <s v="0x580b"/>
    <n v="24413"/>
    <x v="189"/>
    <s v="hPa"/>
  </r>
  <r>
    <x v="486"/>
    <x v="18"/>
    <s v="0x22"/>
    <s v="0x580f"/>
    <n v="100"/>
    <x v="175"/>
    <s v="degC"/>
  </r>
  <r>
    <x v="487"/>
    <x v="19"/>
    <s v="0x22"/>
    <s v="0x5818"/>
    <n v="3"/>
    <x v="27"/>
    <s v="kg/hr"/>
  </r>
  <r>
    <x v="488"/>
    <x v="20"/>
    <s v="0x22"/>
    <s v="0x4521"/>
    <s v="N/A"/>
    <x v="3"/>
    <s v="N/A"/>
  </r>
  <r>
    <x v="489"/>
    <x v="21"/>
    <s v="0x22"/>
    <s v="0x4abf"/>
    <s v="N/A"/>
    <x v="3"/>
    <s v="N/A"/>
  </r>
  <r>
    <x v="490"/>
    <x v="22"/>
    <s v="0x22"/>
    <s v="0x4ac0"/>
    <s v="N/A"/>
    <x v="3"/>
    <s v="N/A"/>
  </r>
  <r>
    <x v="491"/>
    <x v="23"/>
    <s v="0x22"/>
    <s v="0x4522"/>
    <s v="N/A"/>
    <x v="3"/>
    <s v="N/A"/>
  </r>
  <r>
    <x v="492"/>
    <x v="24"/>
    <s v="0x22"/>
    <s v="0x4403"/>
    <n v="27095"/>
    <x v="183"/>
    <s v="L?"/>
  </r>
  <r>
    <x v="493"/>
    <x v="25"/>
    <s v="0x22"/>
    <s v="0x4a6c"/>
    <s v="N/A"/>
    <x v="3"/>
    <s v="N/A"/>
  </r>
  <r>
    <x v="494"/>
    <x v="0"/>
    <s v="0x22"/>
    <s v="0x5822"/>
    <n v="162"/>
    <x v="0"/>
    <s v="degC"/>
  </r>
  <r>
    <x v="495"/>
    <x v="1"/>
    <s v="0x22"/>
    <s v="0x4300"/>
    <n v="201"/>
    <x v="1"/>
    <s v="degC"/>
  </r>
  <r>
    <x v="496"/>
    <x v="2"/>
    <s v="0x22"/>
    <s v="0x5834"/>
    <n v="25902"/>
    <x v="2"/>
    <s v="hPa"/>
  </r>
  <r>
    <x v="497"/>
    <x v="3"/>
    <s v="0x22"/>
    <s v="0x4411"/>
    <s v="N/A"/>
    <x v="3"/>
    <s v="N/A"/>
  </r>
  <r>
    <x v="498"/>
    <x v="4"/>
    <s v="0x22"/>
    <s v="0x4205"/>
    <n v="12931"/>
    <x v="190"/>
    <s v="hPa"/>
  </r>
  <r>
    <x v="499"/>
    <x v="5"/>
    <s v="0x22"/>
    <s v="0x4807"/>
    <n v="3409"/>
    <x v="42"/>
    <s v="rpm"/>
  </r>
  <r>
    <x v="500"/>
    <x v="6"/>
    <s v="0x22"/>
    <s v="0x5881"/>
    <n v="3"/>
    <x v="95"/>
    <s v="-"/>
  </r>
  <r>
    <x v="501"/>
    <x v="7"/>
    <s v="0x22"/>
    <s v="0x460c"/>
    <n v="601"/>
    <x v="85"/>
    <s v="V"/>
  </r>
  <r>
    <x v="502"/>
    <x v="8"/>
    <s v="0x22"/>
    <s v="0x586f"/>
    <n v="2570"/>
    <x v="191"/>
    <s v="hPa"/>
  </r>
  <r>
    <x v="503"/>
    <x v="9"/>
    <s v="0x22"/>
    <s v="0x5816"/>
    <n v="3727"/>
    <x v="98"/>
    <s v="-"/>
  </r>
  <r>
    <x v="504"/>
    <x v="10"/>
    <s v="0x22"/>
    <s v="0x5889"/>
    <n v="3720"/>
    <x v="98"/>
    <s v="-"/>
  </r>
  <r>
    <x v="505"/>
    <x v="11"/>
    <s v="0x22"/>
    <s v="0x4ab1"/>
    <s v="N/A"/>
    <x v="3"/>
    <s v="N/A"/>
  </r>
  <r>
    <x v="506"/>
    <x v="12"/>
    <s v="0x22"/>
    <s v="0x4811"/>
    <s v="N/A"/>
    <x v="3"/>
    <s v="N/A"/>
  </r>
  <r>
    <x v="507"/>
    <x v="13"/>
    <s v="0x22"/>
    <s v="0x4812"/>
    <s v="N/A"/>
    <x v="3"/>
    <s v="N/A"/>
  </r>
  <r>
    <x v="508"/>
    <x v="14"/>
    <s v="0x22"/>
    <s v="0x58ef"/>
    <n v="11771"/>
    <x v="192"/>
    <s v="MPa"/>
  </r>
  <r>
    <x v="509"/>
    <x v="15"/>
    <s v="0x22"/>
    <s v="0x58b7"/>
    <n v="1"/>
    <x v="6"/>
    <s v="hPa"/>
  </r>
  <r>
    <x v="510"/>
    <x v="16"/>
    <s v="0x22"/>
    <s v="0x5800"/>
    <n v="1419"/>
    <x v="193"/>
    <s v="s"/>
  </r>
  <r>
    <x v="511"/>
    <x v="17"/>
    <s v="0x22"/>
    <s v="0x580b"/>
    <n v="24372"/>
    <x v="56"/>
    <s v="hPa"/>
  </r>
  <r>
    <x v="512"/>
    <x v="18"/>
    <s v="0x22"/>
    <s v="0x580f"/>
    <n v="100"/>
    <x v="175"/>
    <s v="degC"/>
  </r>
  <r>
    <x v="513"/>
    <x v="19"/>
    <s v="0x22"/>
    <s v="0x5818"/>
    <n v="14"/>
    <x v="157"/>
    <s v="kg/hr"/>
  </r>
  <r>
    <x v="514"/>
    <x v="20"/>
    <s v="0x22"/>
    <s v="0x4521"/>
    <s v="N/A"/>
    <x v="3"/>
    <s v="N/A"/>
  </r>
  <r>
    <x v="515"/>
    <x v="21"/>
    <s v="0x22"/>
    <s v="0x4abf"/>
    <s v="N/A"/>
    <x v="3"/>
    <s v="N/A"/>
  </r>
  <r>
    <x v="516"/>
    <x v="22"/>
    <s v="0x22"/>
    <s v="0x4ac0"/>
    <s v="N/A"/>
    <x v="3"/>
    <s v="N/A"/>
  </r>
  <r>
    <x v="517"/>
    <x v="23"/>
    <s v="0x22"/>
    <s v="0x4522"/>
    <s v="N/A"/>
    <x v="3"/>
    <s v="N/A"/>
  </r>
  <r>
    <x v="518"/>
    <x v="24"/>
    <s v="0x22"/>
    <s v="0x4403"/>
    <n v="27133"/>
    <x v="183"/>
    <s v="L?"/>
  </r>
  <r>
    <x v="519"/>
    <x v="25"/>
    <s v="0x22"/>
    <s v="0x4a6c"/>
    <s v="N/A"/>
    <x v="3"/>
    <s v="N/A"/>
  </r>
  <r>
    <x v="520"/>
    <x v="0"/>
    <s v="0x22"/>
    <s v="0x5822"/>
    <n v="163"/>
    <x v="194"/>
    <s v="degC"/>
  </r>
  <r>
    <x v="521"/>
    <x v="1"/>
    <s v="0x22"/>
    <s v="0x4300"/>
    <n v="201"/>
    <x v="1"/>
    <s v="degC"/>
  </r>
  <r>
    <x v="522"/>
    <x v="2"/>
    <s v="0x22"/>
    <s v="0x5834"/>
    <n v="25902"/>
    <x v="2"/>
    <s v="hPa"/>
  </r>
  <r>
    <x v="523"/>
    <x v="3"/>
    <s v="0x22"/>
    <s v="0x4411"/>
    <s v="N/A"/>
    <x v="3"/>
    <s v="N/A"/>
  </r>
  <r>
    <x v="524"/>
    <x v="4"/>
    <s v="0x22"/>
    <s v="0x4205"/>
    <n v="13165"/>
    <x v="195"/>
    <s v="hPa"/>
  </r>
  <r>
    <x v="525"/>
    <x v="5"/>
    <s v="0x22"/>
    <s v="0x4807"/>
    <n v="7689"/>
    <x v="196"/>
    <s v="rpm"/>
  </r>
  <r>
    <x v="526"/>
    <x v="6"/>
    <s v="0x22"/>
    <s v="0x5881"/>
    <n v="3"/>
    <x v="95"/>
    <s v="-"/>
  </r>
  <r>
    <x v="527"/>
    <x v="7"/>
    <s v="0x22"/>
    <s v="0x460c"/>
    <n v="602"/>
    <x v="96"/>
    <s v="V"/>
  </r>
  <r>
    <x v="528"/>
    <x v="8"/>
    <s v="0x22"/>
    <s v="0x586f"/>
    <n v="2970"/>
    <x v="197"/>
    <s v="hPa"/>
  </r>
  <r>
    <x v="529"/>
    <x v="9"/>
    <s v="0x22"/>
    <s v="0x5816"/>
    <n v="17"/>
    <x v="21"/>
    <s v="-"/>
  </r>
  <r>
    <x v="530"/>
    <x v="10"/>
    <s v="0x22"/>
    <s v="0x5889"/>
    <n v="4125"/>
    <x v="45"/>
    <s v="-"/>
  </r>
  <r>
    <x v="531"/>
    <x v="11"/>
    <s v="0x22"/>
    <s v="0x4ab1"/>
    <s v="N/A"/>
    <x v="3"/>
    <s v="N/A"/>
  </r>
  <r>
    <x v="532"/>
    <x v="12"/>
    <s v="0x22"/>
    <s v="0x4811"/>
    <s v="N/A"/>
    <x v="3"/>
    <s v="N/A"/>
  </r>
  <r>
    <x v="533"/>
    <x v="13"/>
    <s v="0x22"/>
    <s v="0x4812"/>
    <s v="N/A"/>
    <x v="3"/>
    <s v="N/A"/>
  </r>
  <r>
    <x v="534"/>
    <x v="14"/>
    <s v="0x22"/>
    <s v="0x58ef"/>
    <n v="11241"/>
    <x v="198"/>
    <s v="MPa"/>
  </r>
  <r>
    <x v="535"/>
    <x v="15"/>
    <s v="0x22"/>
    <s v="0x58b7"/>
    <n v="1"/>
    <x v="6"/>
    <s v="hPa"/>
  </r>
  <r>
    <x v="536"/>
    <x v="16"/>
    <s v="0x22"/>
    <s v="0x5800"/>
    <n v="1489"/>
    <x v="199"/>
    <s v="s"/>
  </r>
  <r>
    <x v="537"/>
    <x v="17"/>
    <s v="0x22"/>
    <s v="0x580b"/>
    <n v="24244"/>
    <x v="200"/>
    <s v="hPa"/>
  </r>
  <r>
    <x v="538"/>
    <x v="18"/>
    <s v="0x22"/>
    <s v="0x580f"/>
    <n v="99"/>
    <x v="201"/>
    <s v="degC"/>
  </r>
  <r>
    <x v="539"/>
    <x v="19"/>
    <s v="0x22"/>
    <s v="0x5818"/>
    <n v="3"/>
    <x v="27"/>
    <s v="kg/hr"/>
  </r>
  <r>
    <x v="540"/>
    <x v="20"/>
    <s v="0x22"/>
    <s v="0x4521"/>
    <s v="N/A"/>
    <x v="3"/>
    <s v="N/A"/>
  </r>
  <r>
    <x v="541"/>
    <x v="21"/>
    <s v="0x22"/>
    <s v="0x4abf"/>
    <s v="N/A"/>
    <x v="3"/>
    <s v="N/A"/>
  </r>
  <r>
    <x v="542"/>
    <x v="22"/>
    <s v="0x22"/>
    <s v="0x4ac0"/>
    <s v="N/A"/>
    <x v="3"/>
    <s v="N/A"/>
  </r>
  <r>
    <x v="543"/>
    <x v="23"/>
    <s v="0x22"/>
    <s v="0x4522"/>
    <s v="N/A"/>
    <x v="3"/>
    <s v="N/A"/>
  </r>
  <r>
    <x v="544"/>
    <x v="24"/>
    <s v="0x22"/>
    <s v="0x4403"/>
    <n v="27151"/>
    <x v="183"/>
    <s v="L?"/>
  </r>
  <r>
    <x v="545"/>
    <x v="25"/>
    <s v="0x22"/>
    <s v="0x4a6c"/>
    <s v="N/A"/>
    <x v="3"/>
    <s v="N/A"/>
  </r>
  <r>
    <x v="546"/>
    <x v="0"/>
    <s v="0x22"/>
    <s v="0x5822"/>
    <n v="163"/>
    <x v="194"/>
    <s v="degC"/>
  </r>
  <r>
    <x v="547"/>
    <x v="1"/>
    <s v="0x22"/>
    <s v="0x4300"/>
    <n v="202"/>
    <x v="121"/>
    <s v="degC"/>
  </r>
  <r>
    <x v="548"/>
    <x v="2"/>
    <s v="0x22"/>
    <s v="0x5834"/>
    <n v="25902"/>
    <x v="2"/>
    <s v="hPa"/>
  </r>
  <r>
    <x v="549"/>
    <x v="3"/>
    <s v="0x22"/>
    <s v="0x4411"/>
    <s v="N/A"/>
    <x v="3"/>
    <s v="N/A"/>
  </r>
  <r>
    <x v="550"/>
    <x v="4"/>
    <s v="0x22"/>
    <s v="0x4205"/>
    <n v="13085"/>
    <x v="202"/>
    <s v="hPa"/>
  </r>
  <r>
    <x v="551"/>
    <x v="5"/>
    <s v="0x22"/>
    <s v="0x4807"/>
    <n v="5711"/>
    <x v="203"/>
    <s v="rpm"/>
  </r>
  <r>
    <x v="552"/>
    <x v="6"/>
    <s v="0x22"/>
    <s v="0x5881"/>
    <n v="4"/>
    <x v="84"/>
    <s v="-"/>
  </r>
  <r>
    <x v="553"/>
    <x v="7"/>
    <s v="0x22"/>
    <s v="0x460c"/>
    <n v="601"/>
    <x v="85"/>
    <s v="V"/>
  </r>
  <r>
    <x v="554"/>
    <x v="8"/>
    <s v="0x22"/>
    <s v="0x586f"/>
    <n v="2918"/>
    <x v="204"/>
    <s v="hPa"/>
  </r>
  <r>
    <x v="555"/>
    <x v="9"/>
    <s v="0x22"/>
    <s v="0x5816"/>
    <n v="65536"/>
    <x v="66"/>
    <s v="-"/>
  </r>
  <r>
    <x v="556"/>
    <x v="10"/>
    <s v="0x22"/>
    <s v="0x5889"/>
    <n v="65299"/>
    <x v="205"/>
    <s v="-"/>
  </r>
  <r>
    <x v="557"/>
    <x v="11"/>
    <s v="0x22"/>
    <s v="0x4ab1"/>
    <s v="N/A"/>
    <x v="3"/>
    <s v="N/A"/>
  </r>
  <r>
    <x v="558"/>
    <x v="12"/>
    <s v="0x22"/>
    <s v="0x4811"/>
    <s v="N/A"/>
    <x v="3"/>
    <s v="N/A"/>
  </r>
  <r>
    <x v="559"/>
    <x v="13"/>
    <s v="0x22"/>
    <s v="0x4812"/>
    <s v="N/A"/>
    <x v="3"/>
    <s v="N/A"/>
  </r>
  <r>
    <x v="560"/>
    <x v="14"/>
    <s v="0x22"/>
    <s v="0x58ef"/>
    <n v="6598"/>
    <x v="167"/>
    <s v="MPa"/>
  </r>
  <r>
    <x v="561"/>
    <x v="15"/>
    <s v="0x22"/>
    <s v="0x58b7"/>
    <n v="1"/>
    <x v="6"/>
    <s v="hPa"/>
  </r>
  <r>
    <x v="562"/>
    <x v="16"/>
    <s v="0x22"/>
    <s v="0x5800"/>
    <n v="1558"/>
    <x v="206"/>
    <s v="s"/>
  </r>
  <r>
    <x v="563"/>
    <x v="17"/>
    <s v="0x22"/>
    <s v="0x580b"/>
    <n v="24602"/>
    <x v="207"/>
    <s v="hPa"/>
  </r>
  <r>
    <x v="564"/>
    <x v="18"/>
    <s v="0x22"/>
    <s v="0x580f"/>
    <n v="99"/>
    <x v="201"/>
    <s v="degC"/>
  </r>
  <r>
    <x v="565"/>
    <x v="19"/>
    <s v="0x22"/>
    <s v="0x5818"/>
    <n v="4"/>
    <x v="66"/>
    <s v="kg/hr"/>
  </r>
  <r>
    <x v="566"/>
    <x v="20"/>
    <s v="0x22"/>
    <s v="0x4521"/>
    <s v="N/A"/>
    <x v="3"/>
    <s v="N/A"/>
  </r>
  <r>
    <x v="567"/>
    <x v="21"/>
    <s v="0x22"/>
    <s v="0x4abf"/>
    <s v="N/A"/>
    <x v="3"/>
    <s v="N/A"/>
  </r>
  <r>
    <x v="568"/>
    <x v="22"/>
    <s v="0x22"/>
    <s v="0x4ac0"/>
    <s v="N/A"/>
    <x v="3"/>
    <s v="N/A"/>
  </r>
  <r>
    <x v="569"/>
    <x v="23"/>
    <s v="0x22"/>
    <s v="0x4522"/>
    <s v="N/A"/>
    <x v="3"/>
    <s v="N/A"/>
  </r>
  <r>
    <x v="570"/>
    <x v="24"/>
    <s v="0x22"/>
    <s v="0x4403"/>
    <n v="27151"/>
    <x v="183"/>
    <s v="L?"/>
  </r>
  <r>
    <x v="571"/>
    <x v="25"/>
    <s v="0x22"/>
    <s v="0x4a6c"/>
    <s v="N/A"/>
    <x v="3"/>
    <s v="N/A"/>
  </r>
  <r>
    <x v="572"/>
    <x v="0"/>
    <s v="0x22"/>
    <s v="0x5822"/>
    <n v="162"/>
    <x v="0"/>
    <s v="degC"/>
  </r>
  <r>
    <x v="573"/>
    <x v="1"/>
    <s v="0x22"/>
    <s v="0x4300"/>
    <n v="203"/>
    <x v="129"/>
    <s v="degC"/>
  </r>
  <r>
    <x v="574"/>
    <x v="2"/>
    <s v="0x22"/>
    <s v="0x5834"/>
    <n v="25934"/>
    <x v="208"/>
    <s v="hPa"/>
  </r>
  <r>
    <x v="575"/>
    <x v="3"/>
    <s v="0x22"/>
    <s v="0x4411"/>
    <s v="N/A"/>
    <x v="3"/>
    <s v="N/A"/>
  </r>
  <r>
    <x v="576"/>
    <x v="4"/>
    <s v="0x22"/>
    <s v="0x4205"/>
    <n v="13291"/>
    <x v="209"/>
    <s v="hPa"/>
  </r>
  <r>
    <x v="577"/>
    <x v="5"/>
    <s v="0x22"/>
    <s v="0x4807"/>
    <n v="7993"/>
    <x v="210"/>
    <s v="rpm"/>
  </r>
  <r>
    <x v="578"/>
    <x v="6"/>
    <s v="0x22"/>
    <s v="0x5881"/>
    <n v="4"/>
    <x v="84"/>
    <s v="-"/>
  </r>
  <r>
    <x v="579"/>
    <x v="7"/>
    <s v="0x22"/>
    <s v="0x460c"/>
    <n v="600"/>
    <x v="141"/>
    <s v="V"/>
  </r>
  <r>
    <x v="580"/>
    <x v="8"/>
    <s v="0x22"/>
    <s v="0x586f"/>
    <n v="2891"/>
    <x v="211"/>
    <s v="hPa"/>
  </r>
  <r>
    <x v="581"/>
    <x v="9"/>
    <s v="0x22"/>
    <s v="0x5816"/>
    <n v="65536"/>
    <x v="66"/>
    <s v="-"/>
  </r>
  <r>
    <x v="582"/>
    <x v="10"/>
    <s v="0x22"/>
    <s v="0x5889"/>
    <n v="65299"/>
    <x v="205"/>
    <s v="-"/>
  </r>
  <r>
    <x v="583"/>
    <x v="11"/>
    <s v="0x22"/>
    <s v="0x4ab1"/>
    <s v="N/A"/>
    <x v="3"/>
    <s v="N/A"/>
  </r>
  <r>
    <x v="584"/>
    <x v="12"/>
    <s v="0x22"/>
    <s v="0x4811"/>
    <s v="N/A"/>
    <x v="3"/>
    <s v="N/A"/>
  </r>
  <r>
    <x v="585"/>
    <x v="13"/>
    <s v="0x22"/>
    <s v="0x4812"/>
    <s v="N/A"/>
    <x v="3"/>
    <s v="N/A"/>
  </r>
  <r>
    <x v="586"/>
    <x v="14"/>
    <s v="0x22"/>
    <s v="0x58ef"/>
    <n v="10599"/>
    <x v="212"/>
    <s v="MPa"/>
  </r>
  <r>
    <x v="587"/>
    <x v="15"/>
    <s v="0x22"/>
    <s v="0x58b7"/>
    <n v="1"/>
    <x v="6"/>
    <s v="hPa"/>
  </r>
  <r>
    <x v="588"/>
    <x v="16"/>
    <s v="0x22"/>
    <s v="0x5800"/>
    <n v="1628"/>
    <x v="213"/>
    <s v="s"/>
  </r>
  <r>
    <x v="589"/>
    <x v="17"/>
    <s v="0x22"/>
    <s v="0x580b"/>
    <n v="24564"/>
    <x v="214"/>
    <s v="hPa"/>
  </r>
  <r>
    <x v="590"/>
    <x v="18"/>
    <s v="0x22"/>
    <s v="0x580f"/>
    <n v="99"/>
    <x v="201"/>
    <s v="degC"/>
  </r>
  <r>
    <x v="591"/>
    <x v="19"/>
    <s v="0x22"/>
    <s v="0x5818"/>
    <n v="5"/>
    <x v="182"/>
    <s v="kg/hr"/>
  </r>
  <r>
    <x v="592"/>
    <x v="20"/>
    <s v="0x22"/>
    <s v="0x4521"/>
    <s v="N/A"/>
    <x v="3"/>
    <s v="N/A"/>
  </r>
  <r>
    <x v="593"/>
    <x v="21"/>
    <s v="0x22"/>
    <s v="0x4abf"/>
    <s v="N/A"/>
    <x v="3"/>
    <s v="N/A"/>
  </r>
  <r>
    <x v="594"/>
    <x v="22"/>
    <s v="0x22"/>
    <s v="0x4ac0"/>
    <s v="N/A"/>
    <x v="3"/>
    <s v="N/A"/>
  </r>
  <r>
    <x v="595"/>
    <x v="23"/>
    <s v="0x22"/>
    <s v="0x4522"/>
    <s v="N/A"/>
    <x v="3"/>
    <s v="N/A"/>
  </r>
  <r>
    <x v="596"/>
    <x v="24"/>
    <s v="0x22"/>
    <s v="0x4403"/>
    <n v="27151"/>
    <x v="183"/>
    <s v="L?"/>
  </r>
  <r>
    <x v="597"/>
    <x v="25"/>
    <s v="0x22"/>
    <s v="0x4a6c"/>
    <s v="N/A"/>
    <x v="3"/>
    <s v="N/A"/>
  </r>
  <r>
    <x v="598"/>
    <x v="0"/>
    <s v="0x22"/>
    <s v="0x5822"/>
    <n v="163"/>
    <x v="194"/>
    <s v="degC"/>
  </r>
  <r>
    <x v="599"/>
    <x v="1"/>
    <s v="0x22"/>
    <s v="0x4300"/>
    <n v="204"/>
    <x v="138"/>
    <s v="degC"/>
  </r>
  <r>
    <x v="600"/>
    <x v="2"/>
    <s v="0x22"/>
    <s v="0x5834"/>
    <n v="25965"/>
    <x v="215"/>
    <s v="hPa"/>
  </r>
  <r>
    <x v="601"/>
    <x v="3"/>
    <s v="0x22"/>
    <s v="0x4411"/>
    <s v="N/A"/>
    <x v="3"/>
    <s v="N/A"/>
  </r>
  <r>
    <x v="602"/>
    <x v="4"/>
    <s v="0x22"/>
    <s v="0x4205"/>
    <n v="13421"/>
    <x v="216"/>
    <s v="hPa"/>
  </r>
  <r>
    <x v="603"/>
    <x v="5"/>
    <s v="0x22"/>
    <s v="0x4807"/>
    <n v="9959"/>
    <x v="217"/>
    <s v="rpm"/>
  </r>
  <r>
    <x v="604"/>
    <x v="6"/>
    <s v="0x22"/>
    <s v="0x5881"/>
    <n v="4"/>
    <x v="84"/>
    <s v="-"/>
  </r>
  <r>
    <x v="605"/>
    <x v="7"/>
    <s v="0x22"/>
    <s v="0x460c"/>
    <n v="602"/>
    <x v="96"/>
    <s v="V"/>
  </r>
  <r>
    <x v="606"/>
    <x v="8"/>
    <s v="0x22"/>
    <s v="0x586f"/>
    <n v="2993"/>
    <x v="218"/>
    <s v="hPa"/>
  </r>
  <r>
    <x v="607"/>
    <x v="9"/>
    <s v="0x22"/>
    <s v="0x5816"/>
    <n v="65536"/>
    <x v="66"/>
    <s v="-"/>
  </r>
  <r>
    <x v="608"/>
    <x v="10"/>
    <s v="0x22"/>
    <s v="0x5889"/>
    <n v="65299"/>
    <x v="205"/>
    <s v="-"/>
  </r>
  <r>
    <x v="609"/>
    <x v="11"/>
    <s v="0x22"/>
    <s v="0x4ab1"/>
    <s v="N/A"/>
    <x v="3"/>
    <s v="N/A"/>
  </r>
  <r>
    <x v="610"/>
    <x v="12"/>
    <s v="0x22"/>
    <s v="0x4811"/>
    <s v="N/A"/>
    <x v="3"/>
    <s v="N/A"/>
  </r>
  <r>
    <x v="611"/>
    <x v="13"/>
    <s v="0x22"/>
    <s v="0x4812"/>
    <s v="N/A"/>
    <x v="3"/>
    <s v="N/A"/>
  </r>
  <r>
    <x v="612"/>
    <x v="14"/>
    <s v="0x22"/>
    <s v="0x58ef"/>
    <n v="11116"/>
    <x v="219"/>
    <s v="MPa"/>
  </r>
  <r>
    <x v="613"/>
    <x v="15"/>
    <s v="0x22"/>
    <s v="0x58b7"/>
    <n v="1"/>
    <x v="6"/>
    <s v="hPa"/>
  </r>
  <r>
    <x v="614"/>
    <x v="16"/>
    <s v="0x22"/>
    <s v="0x5800"/>
    <n v="1697"/>
    <x v="220"/>
    <s v="s"/>
  </r>
  <r>
    <x v="615"/>
    <x v="17"/>
    <s v="0x22"/>
    <s v="0x580b"/>
    <n v="24564"/>
    <x v="214"/>
    <s v="hPa"/>
  </r>
  <r>
    <x v="616"/>
    <x v="18"/>
    <s v="0x22"/>
    <s v="0x580f"/>
    <n v="98"/>
    <x v="221"/>
    <s v="degC"/>
  </r>
  <r>
    <x v="617"/>
    <x v="19"/>
    <s v="0x22"/>
    <s v="0x5818"/>
    <n v="5"/>
    <x v="182"/>
    <s v="kg/hr"/>
  </r>
  <r>
    <x v="618"/>
    <x v="20"/>
    <s v="0x22"/>
    <s v="0x4521"/>
    <s v="N/A"/>
    <x v="3"/>
    <s v="N/A"/>
  </r>
  <r>
    <x v="619"/>
    <x v="21"/>
    <s v="0x22"/>
    <s v="0x4abf"/>
    <s v="N/A"/>
    <x v="3"/>
    <s v="N/A"/>
  </r>
  <r>
    <x v="620"/>
    <x v="22"/>
    <s v="0x22"/>
    <s v="0x4ac0"/>
    <s v="N/A"/>
    <x v="3"/>
    <s v="N/A"/>
  </r>
  <r>
    <x v="621"/>
    <x v="23"/>
    <s v="0x22"/>
    <s v="0x4522"/>
    <s v="N/A"/>
    <x v="3"/>
    <s v="N/A"/>
  </r>
  <r>
    <x v="622"/>
    <x v="24"/>
    <s v="0x22"/>
    <s v="0x4403"/>
    <n v="27151"/>
    <x v="183"/>
    <s v="L?"/>
  </r>
  <r>
    <x v="623"/>
    <x v="25"/>
    <s v="0x22"/>
    <s v="0x4a6c"/>
    <s v="N/A"/>
    <x v="3"/>
    <s v="N/A"/>
  </r>
  <r>
    <x v="624"/>
    <x v="0"/>
    <s v="0x22"/>
    <s v="0x5822"/>
    <n v="163"/>
    <x v="194"/>
    <s v="degC"/>
  </r>
  <r>
    <x v="625"/>
    <x v="1"/>
    <s v="0x22"/>
    <s v="0x4300"/>
    <n v="203"/>
    <x v="129"/>
    <s v="degC"/>
  </r>
  <r>
    <x v="626"/>
    <x v="2"/>
    <s v="0x22"/>
    <s v="0x5834"/>
    <n v="25997"/>
    <x v="222"/>
    <s v="hPa"/>
  </r>
  <r>
    <x v="627"/>
    <x v="3"/>
    <s v="0x22"/>
    <s v="0x4411"/>
    <s v="N/A"/>
    <x v="3"/>
    <s v="N/A"/>
  </r>
  <r>
    <x v="628"/>
    <x v="4"/>
    <s v="0x22"/>
    <s v="0x4205"/>
    <n v="13385"/>
    <x v="223"/>
    <s v="hPa"/>
  </r>
  <r>
    <x v="629"/>
    <x v="5"/>
    <s v="0x22"/>
    <s v="0x4807"/>
    <n v="8457"/>
    <x v="224"/>
    <s v="rpm"/>
  </r>
  <r>
    <x v="630"/>
    <x v="6"/>
    <s v="0x22"/>
    <s v="0x5881"/>
    <n v="4"/>
    <x v="84"/>
    <s v="-"/>
  </r>
  <r>
    <x v="631"/>
    <x v="7"/>
    <s v="0x22"/>
    <s v="0x460c"/>
    <n v="602"/>
    <x v="96"/>
    <s v="V"/>
  </r>
  <r>
    <x v="632"/>
    <x v="8"/>
    <s v="0x22"/>
    <s v="0x586f"/>
    <n v="3018"/>
    <x v="225"/>
    <s v="hPa"/>
  </r>
  <r>
    <x v="633"/>
    <x v="9"/>
    <s v="0x22"/>
    <s v="0x5816"/>
    <n v="65536"/>
    <x v="66"/>
    <s v="-"/>
  </r>
  <r>
    <x v="634"/>
    <x v="10"/>
    <s v="0x22"/>
    <s v="0x5889"/>
    <n v="65299"/>
    <x v="205"/>
    <s v="-"/>
  </r>
  <r>
    <x v="635"/>
    <x v="11"/>
    <s v="0x22"/>
    <s v="0x4ab1"/>
    <s v="N/A"/>
    <x v="3"/>
    <s v="N/A"/>
  </r>
  <r>
    <x v="636"/>
    <x v="12"/>
    <s v="0x22"/>
    <s v="0x4811"/>
    <s v="N/A"/>
    <x v="3"/>
    <s v="N/A"/>
  </r>
  <r>
    <x v="637"/>
    <x v="13"/>
    <s v="0x22"/>
    <s v="0x4812"/>
    <s v="N/A"/>
    <x v="3"/>
    <s v="N/A"/>
  </r>
  <r>
    <x v="638"/>
    <x v="14"/>
    <s v="0x22"/>
    <s v="0x58ef"/>
    <n v="10699"/>
    <x v="226"/>
    <s v="MPa"/>
  </r>
  <r>
    <x v="639"/>
    <x v="15"/>
    <s v="0x22"/>
    <s v="0x58b7"/>
    <n v="9"/>
    <x v="227"/>
    <s v="hPa"/>
  </r>
  <r>
    <x v="640"/>
    <x v="16"/>
    <s v="0x22"/>
    <s v="0x5800"/>
    <n v="1767"/>
    <x v="228"/>
    <s v="s"/>
  </r>
  <r>
    <x v="641"/>
    <x v="17"/>
    <s v="0x22"/>
    <s v="0x580b"/>
    <n v="24583"/>
    <x v="229"/>
    <s v="hPa"/>
  </r>
  <r>
    <x v="642"/>
    <x v="18"/>
    <s v="0x22"/>
    <s v="0x580f"/>
    <n v="97"/>
    <x v="230"/>
    <s v="degC"/>
  </r>
  <r>
    <x v="643"/>
    <x v="19"/>
    <s v="0x22"/>
    <s v="0x5818"/>
    <n v="5"/>
    <x v="182"/>
    <s v="kg/hr"/>
  </r>
  <r>
    <x v="644"/>
    <x v="20"/>
    <s v="0x22"/>
    <s v="0x4521"/>
    <s v="N/A"/>
    <x v="3"/>
    <s v="N/A"/>
  </r>
  <r>
    <x v="645"/>
    <x v="21"/>
    <s v="0x22"/>
    <s v="0x4abf"/>
    <s v="N/A"/>
    <x v="3"/>
    <s v="N/A"/>
  </r>
  <r>
    <x v="646"/>
    <x v="22"/>
    <s v="0x22"/>
    <s v="0x4ac0"/>
    <s v="N/A"/>
    <x v="3"/>
    <s v="N/A"/>
  </r>
  <r>
    <x v="647"/>
    <x v="23"/>
    <s v="0x22"/>
    <s v="0x4522"/>
    <s v="N/A"/>
    <x v="3"/>
    <s v="N/A"/>
  </r>
  <r>
    <x v="648"/>
    <x v="24"/>
    <s v="0x22"/>
    <s v="0x4403"/>
    <n v="27151"/>
    <x v="183"/>
    <s v="L?"/>
  </r>
  <r>
    <x v="649"/>
    <x v="25"/>
    <s v="0x22"/>
    <s v="0x4a6c"/>
    <s v="N/A"/>
    <x v="3"/>
    <s v="N/A"/>
  </r>
  <r>
    <x v="650"/>
    <x v="0"/>
    <s v="0x22"/>
    <s v="0x5822"/>
    <n v="162"/>
    <x v="0"/>
    <s v="degC"/>
  </r>
  <r>
    <x v="651"/>
    <x v="1"/>
    <s v="0x22"/>
    <s v="0x4300"/>
    <n v="202"/>
    <x v="121"/>
    <s v="degC"/>
  </r>
  <r>
    <x v="652"/>
    <x v="2"/>
    <s v="0x22"/>
    <s v="0x5834"/>
    <n v="26029"/>
    <x v="231"/>
    <s v="hPa"/>
  </r>
  <r>
    <x v="653"/>
    <x v="3"/>
    <s v="0x22"/>
    <s v="0x4411"/>
    <s v="N/A"/>
    <x v="3"/>
    <s v="N/A"/>
  </r>
  <r>
    <x v="654"/>
    <x v="4"/>
    <s v="0x22"/>
    <s v="0x4205"/>
    <n v="13204"/>
    <x v="232"/>
    <s v="hPa"/>
  </r>
  <r>
    <x v="655"/>
    <x v="5"/>
    <s v="0x22"/>
    <s v="0x4807"/>
    <n v="5689"/>
    <x v="233"/>
    <s v="rpm"/>
  </r>
  <r>
    <x v="656"/>
    <x v="6"/>
    <s v="0x22"/>
    <s v="0x5881"/>
    <n v="4"/>
    <x v="84"/>
    <s v="-"/>
  </r>
  <r>
    <x v="657"/>
    <x v="7"/>
    <s v="0x22"/>
    <s v="0x460c"/>
    <n v="602"/>
    <x v="96"/>
    <s v="V"/>
  </r>
  <r>
    <x v="658"/>
    <x v="8"/>
    <s v="0x22"/>
    <s v="0x586f"/>
    <n v="3020"/>
    <x v="234"/>
    <s v="hPa"/>
  </r>
  <r>
    <x v="659"/>
    <x v="9"/>
    <s v="0x22"/>
    <s v="0x5816"/>
    <n v="65536"/>
    <x v="66"/>
    <s v="-"/>
  </r>
  <r>
    <x v="660"/>
    <x v="10"/>
    <s v="0x22"/>
    <s v="0x5889"/>
    <n v="65299"/>
    <x v="205"/>
    <s v="-"/>
  </r>
  <r>
    <x v="661"/>
    <x v="11"/>
    <s v="0x22"/>
    <s v="0x4ab1"/>
    <s v="N/A"/>
    <x v="3"/>
    <s v="N/A"/>
  </r>
  <r>
    <x v="662"/>
    <x v="12"/>
    <s v="0x22"/>
    <s v="0x4811"/>
    <s v="N/A"/>
    <x v="3"/>
    <s v="N/A"/>
  </r>
  <r>
    <x v="663"/>
    <x v="13"/>
    <s v="0x22"/>
    <s v="0x4812"/>
    <s v="N/A"/>
    <x v="3"/>
    <s v="N/A"/>
  </r>
  <r>
    <x v="664"/>
    <x v="14"/>
    <s v="0x22"/>
    <s v="0x58ef"/>
    <n v="9835"/>
    <x v="235"/>
    <s v="MPa"/>
  </r>
  <r>
    <x v="665"/>
    <x v="15"/>
    <s v="0x22"/>
    <s v="0x58b7"/>
    <n v="12"/>
    <x v="27"/>
    <s v="hPa"/>
  </r>
  <r>
    <x v="666"/>
    <x v="16"/>
    <s v="0x22"/>
    <s v="0x5800"/>
    <n v="1836"/>
    <x v="236"/>
    <s v="s"/>
  </r>
  <r>
    <x v="667"/>
    <x v="17"/>
    <s v="0x22"/>
    <s v="0x580b"/>
    <n v="24471"/>
    <x v="237"/>
    <s v="hPa"/>
  </r>
  <r>
    <x v="668"/>
    <x v="18"/>
    <s v="0x22"/>
    <s v="0x580f"/>
    <n v="97"/>
    <x v="230"/>
    <s v="degC"/>
  </r>
  <r>
    <x v="669"/>
    <x v="19"/>
    <s v="0x22"/>
    <s v="0x5818"/>
    <n v="3"/>
    <x v="27"/>
    <s v="kg/hr"/>
  </r>
  <r>
    <x v="670"/>
    <x v="20"/>
    <s v="0x22"/>
    <s v="0x4521"/>
    <s v="N/A"/>
    <x v="3"/>
    <s v="N/A"/>
  </r>
  <r>
    <x v="671"/>
    <x v="21"/>
    <s v="0x22"/>
    <s v="0x4abf"/>
    <s v="N/A"/>
    <x v="3"/>
    <s v="N/A"/>
  </r>
  <r>
    <x v="672"/>
    <x v="22"/>
    <s v="0x22"/>
    <s v="0x4ac0"/>
    <s v="N/A"/>
    <x v="3"/>
    <s v="N/A"/>
  </r>
  <r>
    <x v="673"/>
    <x v="23"/>
    <s v="0x22"/>
    <s v="0x4522"/>
    <s v="N/A"/>
    <x v="3"/>
    <s v="N/A"/>
  </r>
  <r>
    <x v="674"/>
    <x v="24"/>
    <s v="0x22"/>
    <s v="0x4403"/>
    <n v="27154"/>
    <x v="183"/>
    <s v="L?"/>
  </r>
  <r>
    <x v="675"/>
    <x v="25"/>
    <s v="0x22"/>
    <s v="0x4a6c"/>
    <s v="N/A"/>
    <x v="3"/>
    <s v="N/A"/>
  </r>
  <r>
    <x v="676"/>
    <x v="0"/>
    <s v="0x22"/>
    <s v="0x5822"/>
    <n v="163"/>
    <x v="194"/>
    <s v="degC"/>
  </r>
  <r>
    <x v="677"/>
    <x v="1"/>
    <s v="0x22"/>
    <s v="0x4300"/>
    <n v="202"/>
    <x v="121"/>
    <s v="degC"/>
  </r>
  <r>
    <x v="678"/>
    <x v="2"/>
    <s v="0x22"/>
    <s v="0x5834"/>
    <n v="26029"/>
    <x v="231"/>
    <s v="hPa"/>
  </r>
  <r>
    <x v="679"/>
    <x v="3"/>
    <s v="0x22"/>
    <s v="0x4411"/>
    <s v="N/A"/>
    <x v="3"/>
    <s v="N/A"/>
  </r>
  <r>
    <x v="680"/>
    <x v="4"/>
    <s v="0x22"/>
    <s v="0x4205"/>
    <n v="12985"/>
    <x v="105"/>
    <s v="hPa"/>
  </r>
  <r>
    <x v="681"/>
    <x v="5"/>
    <s v="0x22"/>
    <s v="0x4807"/>
    <n v="3317"/>
    <x v="238"/>
    <s v="rpm"/>
  </r>
  <r>
    <x v="682"/>
    <x v="6"/>
    <s v="0x22"/>
    <s v="0x5881"/>
    <n v="2"/>
    <x v="43"/>
    <s v="-"/>
  </r>
  <r>
    <x v="683"/>
    <x v="7"/>
    <s v="0x22"/>
    <s v="0x460c"/>
    <n v="601"/>
    <x v="85"/>
    <s v="V"/>
  </r>
  <r>
    <x v="684"/>
    <x v="8"/>
    <s v="0x22"/>
    <s v="0x586f"/>
    <n v="2944"/>
    <x v="239"/>
    <s v="hPa"/>
  </r>
  <r>
    <x v="685"/>
    <x v="9"/>
    <s v="0x22"/>
    <s v="0x5816"/>
    <n v="3705"/>
    <x v="143"/>
    <s v="-"/>
  </r>
  <r>
    <x v="686"/>
    <x v="10"/>
    <s v="0x22"/>
    <s v="0x5889"/>
    <n v="3717"/>
    <x v="98"/>
    <s v="-"/>
  </r>
  <r>
    <x v="687"/>
    <x v="11"/>
    <s v="0x22"/>
    <s v="0x4ab1"/>
    <s v="N/A"/>
    <x v="3"/>
    <s v="N/A"/>
  </r>
  <r>
    <x v="688"/>
    <x v="12"/>
    <s v="0x22"/>
    <s v="0x4811"/>
    <s v="N/A"/>
    <x v="3"/>
    <s v="N/A"/>
  </r>
  <r>
    <x v="689"/>
    <x v="13"/>
    <s v="0x22"/>
    <s v="0x4812"/>
    <s v="N/A"/>
    <x v="3"/>
    <s v="N/A"/>
  </r>
  <r>
    <x v="690"/>
    <x v="14"/>
    <s v="0x22"/>
    <s v="0x58ef"/>
    <n v="9994"/>
    <x v="240"/>
    <s v="MPa"/>
  </r>
  <r>
    <x v="691"/>
    <x v="15"/>
    <s v="0x22"/>
    <s v="0x58b7"/>
    <n v="7"/>
    <x v="241"/>
    <s v="hPa"/>
  </r>
  <r>
    <x v="692"/>
    <x v="16"/>
    <s v="0x22"/>
    <s v="0x5800"/>
    <n v="1906"/>
    <x v="242"/>
    <s v="s"/>
  </r>
  <r>
    <x v="693"/>
    <x v="17"/>
    <s v="0x22"/>
    <s v="0x580b"/>
    <n v="24458"/>
    <x v="181"/>
    <s v="hPa"/>
  </r>
  <r>
    <x v="694"/>
    <x v="18"/>
    <s v="0x22"/>
    <s v="0x580f"/>
    <n v="98"/>
    <x v="221"/>
    <s v="degC"/>
  </r>
  <r>
    <x v="695"/>
    <x v="19"/>
    <s v="0x22"/>
    <s v="0x5818"/>
    <n v="2"/>
    <x v="14"/>
    <s v="kg/hr"/>
  </r>
  <r>
    <x v="696"/>
    <x v="20"/>
    <s v="0x22"/>
    <s v="0x4521"/>
    <s v="N/A"/>
    <x v="3"/>
    <s v="N/A"/>
  </r>
  <r>
    <x v="697"/>
    <x v="21"/>
    <s v="0x22"/>
    <s v="0x4abf"/>
    <s v="N/A"/>
    <x v="3"/>
    <s v="N/A"/>
  </r>
  <r>
    <x v="698"/>
    <x v="22"/>
    <s v="0x22"/>
    <s v="0x4ac0"/>
    <s v="N/A"/>
    <x v="3"/>
    <s v="N/A"/>
  </r>
  <r>
    <x v="699"/>
    <x v="23"/>
    <s v="0x22"/>
    <s v="0x4522"/>
    <s v="N/A"/>
    <x v="3"/>
    <s v="N/A"/>
  </r>
  <r>
    <x v="700"/>
    <x v="24"/>
    <s v="0x22"/>
    <s v="0x4403"/>
    <n v="27167"/>
    <x v="171"/>
    <s v="L?"/>
  </r>
  <r>
    <x v="701"/>
    <x v="25"/>
    <s v="0x22"/>
    <s v="0x4a6c"/>
    <s v="N/A"/>
    <x v="3"/>
    <s v="N/A"/>
  </r>
  <r>
    <x v="702"/>
    <x v="0"/>
    <s v="0x22"/>
    <s v="0x5822"/>
    <n v="163"/>
    <x v="194"/>
    <s v="degC"/>
  </r>
  <r>
    <x v="703"/>
    <x v="1"/>
    <s v="0x22"/>
    <s v="0x4300"/>
    <n v="202"/>
    <x v="121"/>
    <s v="degC"/>
  </r>
  <r>
    <x v="704"/>
    <x v="2"/>
    <s v="0x22"/>
    <s v="0x5834"/>
    <n v="26029"/>
    <x v="231"/>
    <s v="hPa"/>
  </r>
  <r>
    <x v="705"/>
    <x v="3"/>
    <s v="0x22"/>
    <s v="0x4411"/>
    <s v="N/A"/>
    <x v="3"/>
    <s v="N/A"/>
  </r>
  <r>
    <x v="706"/>
    <x v="4"/>
    <s v="0x22"/>
    <s v="0x4205"/>
    <n v="12947"/>
    <x v="243"/>
    <s v="hPa"/>
  </r>
  <r>
    <x v="707"/>
    <x v="5"/>
    <s v="0x22"/>
    <s v="0x4807"/>
    <n v="3195"/>
    <x v="244"/>
    <s v="rpm"/>
  </r>
  <r>
    <x v="708"/>
    <x v="6"/>
    <s v="0x22"/>
    <s v="0x5881"/>
    <n v="2"/>
    <x v="43"/>
    <s v="-"/>
  </r>
  <r>
    <x v="709"/>
    <x v="7"/>
    <s v="0x22"/>
    <s v="0x460c"/>
    <n v="598"/>
    <x v="245"/>
    <s v="V"/>
  </r>
  <r>
    <x v="710"/>
    <x v="8"/>
    <s v="0x22"/>
    <s v="0x586f"/>
    <n v="3121"/>
    <x v="246"/>
    <s v="hPa"/>
  </r>
  <r>
    <x v="711"/>
    <x v="9"/>
    <s v="0x22"/>
    <s v="0x5816"/>
    <n v="3789"/>
    <x v="35"/>
    <s v="-"/>
  </r>
  <r>
    <x v="712"/>
    <x v="10"/>
    <s v="0x22"/>
    <s v="0x5889"/>
    <n v="3740"/>
    <x v="98"/>
    <s v="-"/>
  </r>
  <r>
    <x v="713"/>
    <x v="11"/>
    <s v="0x22"/>
    <s v="0x4ab1"/>
    <s v="N/A"/>
    <x v="3"/>
    <s v="N/A"/>
  </r>
  <r>
    <x v="714"/>
    <x v="12"/>
    <s v="0x22"/>
    <s v="0x4811"/>
    <s v="N/A"/>
    <x v="3"/>
    <s v="N/A"/>
  </r>
  <r>
    <x v="715"/>
    <x v="13"/>
    <s v="0x22"/>
    <s v="0x4812"/>
    <s v="N/A"/>
    <x v="3"/>
    <s v="N/A"/>
  </r>
  <r>
    <x v="716"/>
    <x v="14"/>
    <s v="0x22"/>
    <s v="0x58ef"/>
    <n v="10482"/>
    <x v="247"/>
    <s v="MPa"/>
  </r>
  <r>
    <x v="717"/>
    <x v="15"/>
    <s v="0x22"/>
    <s v="0x58b7"/>
    <n v="12"/>
    <x v="27"/>
    <s v="hPa"/>
  </r>
  <r>
    <x v="718"/>
    <x v="16"/>
    <s v="0x22"/>
    <s v="0x5800"/>
    <n v="1975"/>
    <x v="248"/>
    <s v="s"/>
  </r>
  <r>
    <x v="719"/>
    <x v="17"/>
    <s v="0x22"/>
    <s v="0x580b"/>
    <n v="24589"/>
    <x v="249"/>
    <s v="hPa"/>
  </r>
  <r>
    <x v="720"/>
    <x v="18"/>
    <s v="0x22"/>
    <s v="0x580f"/>
    <n v="99"/>
    <x v="201"/>
    <s v="degC"/>
  </r>
  <r>
    <x v="721"/>
    <x v="19"/>
    <s v="0x22"/>
    <s v="0x5818"/>
    <n v="3"/>
    <x v="27"/>
    <s v="kg/hr"/>
  </r>
  <r>
    <x v="722"/>
    <x v="20"/>
    <s v="0x22"/>
    <s v="0x4521"/>
    <s v="N/A"/>
    <x v="3"/>
    <s v="N/A"/>
  </r>
  <r>
    <x v="723"/>
    <x v="21"/>
    <s v="0x22"/>
    <s v="0x4abf"/>
    <s v="N/A"/>
    <x v="3"/>
    <s v="N/A"/>
  </r>
  <r>
    <x v="724"/>
    <x v="22"/>
    <s v="0x22"/>
    <s v="0x4ac0"/>
    <s v="N/A"/>
    <x v="3"/>
    <s v="N/A"/>
  </r>
  <r>
    <x v="725"/>
    <x v="23"/>
    <s v="0x22"/>
    <s v="0x4522"/>
    <s v="N/A"/>
    <x v="3"/>
    <s v="N/A"/>
  </r>
  <r>
    <x v="726"/>
    <x v="24"/>
    <s v="0x22"/>
    <s v="0x4403"/>
    <n v="27180"/>
    <x v="171"/>
    <s v="L?"/>
  </r>
  <r>
    <x v="727"/>
    <x v="25"/>
    <s v="0x22"/>
    <s v="0x4a6c"/>
    <s v="N/A"/>
    <x v="3"/>
    <s v="N/A"/>
  </r>
  <r>
    <x v="728"/>
    <x v="0"/>
    <s v="0x22"/>
    <s v="0x5822"/>
    <n v="163"/>
    <x v="194"/>
    <s v="degC"/>
  </r>
  <r>
    <x v="729"/>
    <x v="1"/>
    <s v="0x22"/>
    <s v="0x4300"/>
    <n v="202"/>
    <x v="121"/>
    <s v="degC"/>
  </r>
  <r>
    <x v="730"/>
    <x v="2"/>
    <s v="0x22"/>
    <s v="0x5834"/>
    <n v="26029"/>
    <x v="231"/>
    <s v="hPa"/>
  </r>
  <r>
    <x v="731"/>
    <x v="3"/>
    <s v="0x22"/>
    <s v="0x4411"/>
    <s v="N/A"/>
    <x v="3"/>
    <s v="N/A"/>
  </r>
  <r>
    <x v="732"/>
    <x v="4"/>
    <s v="0x22"/>
    <s v="0x4205"/>
    <n v="12960"/>
    <x v="250"/>
    <s v="hPa"/>
  </r>
  <r>
    <x v="733"/>
    <x v="5"/>
    <s v="0x22"/>
    <s v="0x4807"/>
    <n v="3335"/>
    <x v="251"/>
    <s v="rpm"/>
  </r>
  <r>
    <x v="734"/>
    <x v="6"/>
    <s v="0x22"/>
    <s v="0x5881"/>
    <n v="3"/>
    <x v="95"/>
    <s v="-"/>
  </r>
  <r>
    <x v="735"/>
    <x v="7"/>
    <s v="0x22"/>
    <s v="0x460c"/>
    <n v="604"/>
    <x v="252"/>
    <s v="V"/>
  </r>
  <r>
    <x v="736"/>
    <x v="8"/>
    <s v="0x22"/>
    <s v="0x586f"/>
    <n v="2660"/>
    <x v="253"/>
    <s v="hPa"/>
  </r>
  <r>
    <x v="737"/>
    <x v="9"/>
    <s v="0x22"/>
    <s v="0x5816"/>
    <n v="17"/>
    <x v="21"/>
    <s v="-"/>
  </r>
  <r>
    <x v="738"/>
    <x v="10"/>
    <s v="0x22"/>
    <s v="0x5889"/>
    <n v="4135"/>
    <x v="45"/>
    <s v="-"/>
  </r>
  <r>
    <x v="739"/>
    <x v="11"/>
    <s v="0x22"/>
    <s v="0x4ab1"/>
    <s v="N/A"/>
    <x v="3"/>
    <s v="N/A"/>
  </r>
  <r>
    <x v="740"/>
    <x v="12"/>
    <s v="0x22"/>
    <s v="0x4811"/>
    <s v="N/A"/>
    <x v="3"/>
    <s v="N/A"/>
  </r>
  <r>
    <x v="741"/>
    <x v="13"/>
    <s v="0x22"/>
    <s v="0x4812"/>
    <s v="N/A"/>
    <x v="3"/>
    <s v="N/A"/>
  </r>
  <r>
    <x v="742"/>
    <x v="14"/>
    <s v="0x22"/>
    <s v="0x58ef"/>
    <n v="10600"/>
    <x v="212"/>
    <s v="MPa"/>
  </r>
  <r>
    <x v="743"/>
    <x v="15"/>
    <s v="0x22"/>
    <s v="0x58b7"/>
    <n v="1"/>
    <x v="6"/>
    <s v="hPa"/>
  </r>
  <r>
    <x v="744"/>
    <x v="16"/>
    <s v="0x22"/>
    <s v="0x5800"/>
    <n v="2045"/>
    <x v="254"/>
    <s v="s"/>
  </r>
  <r>
    <x v="745"/>
    <x v="17"/>
    <s v="0x22"/>
    <s v="0x580b"/>
    <n v="24596"/>
    <x v="102"/>
    <s v="hPa"/>
  </r>
  <r>
    <x v="746"/>
    <x v="18"/>
    <s v="0x22"/>
    <s v="0x580f"/>
    <n v="100"/>
    <x v="175"/>
    <s v="degC"/>
  </r>
  <r>
    <x v="747"/>
    <x v="19"/>
    <s v="0x22"/>
    <s v="0x5818"/>
    <n v="2"/>
    <x v="14"/>
    <s v="kg/hr"/>
  </r>
  <r>
    <x v="748"/>
    <x v="20"/>
    <s v="0x22"/>
    <s v="0x4521"/>
    <s v="N/A"/>
    <x v="3"/>
    <s v="N/A"/>
  </r>
  <r>
    <x v="749"/>
    <x v="21"/>
    <s v="0x22"/>
    <s v="0x4abf"/>
    <s v="N/A"/>
    <x v="3"/>
    <s v="N/A"/>
  </r>
  <r>
    <x v="750"/>
    <x v="22"/>
    <s v="0x22"/>
    <s v="0x4ac0"/>
    <s v="N/A"/>
    <x v="3"/>
    <s v="N/A"/>
  </r>
  <r>
    <x v="751"/>
    <x v="23"/>
    <s v="0x22"/>
    <s v="0x4522"/>
    <s v="N/A"/>
    <x v="3"/>
    <s v="N/A"/>
  </r>
  <r>
    <x v="752"/>
    <x v="24"/>
    <s v="0x22"/>
    <s v="0x4403"/>
    <n v="27193"/>
    <x v="171"/>
    <s v="L?"/>
  </r>
  <r>
    <x v="753"/>
    <x v="25"/>
    <s v="0x22"/>
    <s v="0x4a6c"/>
    <s v="N/A"/>
    <x v="3"/>
    <s v="N/A"/>
  </r>
  <r>
    <x v="754"/>
    <x v="0"/>
    <s v="0x22"/>
    <s v="0x5822"/>
    <n v="163"/>
    <x v="194"/>
    <s v="degC"/>
  </r>
  <r>
    <x v="755"/>
    <x v="1"/>
    <s v="0x22"/>
    <s v="0x4300"/>
    <n v="202"/>
    <x v="121"/>
    <s v="degC"/>
  </r>
  <r>
    <x v="756"/>
    <x v="2"/>
    <s v="0x22"/>
    <s v="0x5834"/>
    <n v="26060"/>
    <x v="255"/>
    <s v="hPa"/>
  </r>
  <r>
    <x v="757"/>
    <x v="3"/>
    <s v="0x22"/>
    <s v="0x4411"/>
    <s v="N/A"/>
    <x v="3"/>
    <s v="N/A"/>
  </r>
  <r>
    <x v="758"/>
    <x v="4"/>
    <s v="0x22"/>
    <s v="0x4205"/>
    <n v="13093"/>
    <x v="93"/>
    <s v="hPa"/>
  </r>
  <r>
    <x v="759"/>
    <x v="5"/>
    <s v="0x22"/>
    <s v="0x4807"/>
    <n v="4827"/>
    <x v="256"/>
    <s v="rpm"/>
  </r>
  <r>
    <x v="760"/>
    <x v="6"/>
    <s v="0x22"/>
    <s v="0x5881"/>
    <n v="5"/>
    <x v="240"/>
    <s v="-"/>
  </r>
  <r>
    <x v="761"/>
    <x v="7"/>
    <s v="0x22"/>
    <s v="0x460c"/>
    <n v="602"/>
    <x v="96"/>
    <s v="V"/>
  </r>
  <r>
    <x v="762"/>
    <x v="8"/>
    <s v="0x22"/>
    <s v="0x586f"/>
    <n v="3530"/>
    <x v="257"/>
    <s v="hPa"/>
  </r>
  <r>
    <x v="763"/>
    <x v="9"/>
    <s v="0x22"/>
    <s v="0x5816"/>
    <n v="4376"/>
    <x v="258"/>
    <s v="-"/>
  </r>
  <r>
    <x v="764"/>
    <x v="10"/>
    <s v="0x22"/>
    <s v="0x5889"/>
    <n v="4314"/>
    <x v="259"/>
    <s v="-"/>
  </r>
  <r>
    <x v="765"/>
    <x v="11"/>
    <s v="0x22"/>
    <s v="0x4ab1"/>
    <s v="N/A"/>
    <x v="3"/>
    <s v="N/A"/>
  </r>
  <r>
    <x v="766"/>
    <x v="12"/>
    <s v="0x22"/>
    <s v="0x4811"/>
    <s v="N/A"/>
    <x v="3"/>
    <s v="N/A"/>
  </r>
  <r>
    <x v="767"/>
    <x v="13"/>
    <s v="0x22"/>
    <s v="0x4812"/>
    <s v="N/A"/>
    <x v="3"/>
    <s v="N/A"/>
  </r>
  <r>
    <x v="768"/>
    <x v="14"/>
    <s v="0x22"/>
    <s v="0x58ef"/>
    <n v="10044"/>
    <x v="260"/>
    <s v="MPa"/>
  </r>
  <r>
    <x v="769"/>
    <x v="15"/>
    <s v="0x22"/>
    <s v="0x58b7"/>
    <n v="1"/>
    <x v="6"/>
    <s v="hPa"/>
  </r>
  <r>
    <x v="770"/>
    <x v="16"/>
    <s v="0x22"/>
    <s v="0x5800"/>
    <n v="2114"/>
    <x v="261"/>
    <s v="s"/>
  </r>
  <r>
    <x v="771"/>
    <x v="17"/>
    <s v="0x22"/>
    <s v="0x580b"/>
    <n v="24932"/>
    <x v="262"/>
    <s v="hPa"/>
  </r>
  <r>
    <x v="772"/>
    <x v="18"/>
    <s v="0x22"/>
    <s v="0x580f"/>
    <n v="100"/>
    <x v="175"/>
    <s v="degC"/>
  </r>
  <r>
    <x v="773"/>
    <x v="19"/>
    <s v="0x22"/>
    <s v="0x5818"/>
    <n v="3"/>
    <x v="27"/>
    <s v="kg/hr"/>
  </r>
  <r>
    <x v="774"/>
    <x v="20"/>
    <s v="0x22"/>
    <s v="0x4521"/>
    <s v="N/A"/>
    <x v="3"/>
    <s v="N/A"/>
  </r>
  <r>
    <x v="775"/>
    <x v="21"/>
    <s v="0x22"/>
    <s v="0x4abf"/>
    <s v="N/A"/>
    <x v="3"/>
    <s v="N/A"/>
  </r>
  <r>
    <x v="776"/>
    <x v="22"/>
    <s v="0x22"/>
    <s v="0x4ac0"/>
    <s v="N/A"/>
    <x v="3"/>
    <s v="N/A"/>
  </r>
  <r>
    <x v="777"/>
    <x v="23"/>
    <s v="0x22"/>
    <s v="0x4522"/>
    <s v="N/A"/>
    <x v="3"/>
    <s v="N/A"/>
  </r>
  <r>
    <x v="778"/>
    <x v="24"/>
    <s v="0x22"/>
    <s v="0x4403"/>
    <n v="27203"/>
    <x v="171"/>
    <s v="L?"/>
  </r>
  <r>
    <x v="779"/>
    <x v="25"/>
    <s v="0x22"/>
    <s v="0x4a6c"/>
    <s v="N/A"/>
    <x v="3"/>
    <s v="N/A"/>
  </r>
  <r>
    <x v="780"/>
    <x v="0"/>
    <s v="0x22"/>
    <s v="0x5822"/>
    <n v="162"/>
    <x v="0"/>
    <s v="degC"/>
  </r>
  <r>
    <x v="781"/>
    <x v="1"/>
    <s v="0x22"/>
    <s v="0x4300"/>
    <n v="203"/>
    <x v="129"/>
    <s v="degC"/>
  </r>
  <r>
    <x v="782"/>
    <x v="2"/>
    <s v="0x22"/>
    <s v="0x5834"/>
    <n v="26060"/>
    <x v="255"/>
    <s v="hPa"/>
  </r>
  <r>
    <x v="783"/>
    <x v="3"/>
    <s v="0x22"/>
    <s v="0x4411"/>
    <s v="N/A"/>
    <x v="3"/>
    <s v="N/A"/>
  </r>
  <r>
    <x v="784"/>
    <x v="4"/>
    <s v="0x22"/>
    <s v="0x4205"/>
    <n v="13236"/>
    <x v="263"/>
    <s v="hPa"/>
  </r>
  <r>
    <x v="785"/>
    <x v="5"/>
    <s v="0x22"/>
    <s v="0x4807"/>
    <n v="6947"/>
    <x v="264"/>
    <s v="rpm"/>
  </r>
  <r>
    <x v="786"/>
    <x v="6"/>
    <s v="0x22"/>
    <s v="0x5881"/>
    <n v="5"/>
    <x v="240"/>
    <s v="-"/>
  </r>
  <r>
    <x v="787"/>
    <x v="7"/>
    <s v="0x22"/>
    <s v="0x460c"/>
    <n v="604"/>
    <x v="252"/>
    <s v="V"/>
  </r>
  <r>
    <x v="788"/>
    <x v="8"/>
    <s v="0x22"/>
    <s v="0x586f"/>
    <n v="2905"/>
    <x v="265"/>
    <s v="hPa"/>
  </r>
  <r>
    <x v="789"/>
    <x v="9"/>
    <s v="0x22"/>
    <s v="0x5816"/>
    <n v="65536"/>
    <x v="66"/>
    <s v="-"/>
  </r>
  <r>
    <x v="790"/>
    <x v="10"/>
    <s v="0x22"/>
    <s v="0x5889"/>
    <n v="65299"/>
    <x v="205"/>
    <s v="-"/>
  </r>
  <r>
    <x v="791"/>
    <x v="11"/>
    <s v="0x22"/>
    <s v="0x4ab1"/>
    <s v="N/A"/>
    <x v="3"/>
    <s v="N/A"/>
  </r>
  <r>
    <x v="792"/>
    <x v="12"/>
    <s v="0x22"/>
    <s v="0x4811"/>
    <s v="N/A"/>
    <x v="3"/>
    <s v="N/A"/>
  </r>
  <r>
    <x v="793"/>
    <x v="13"/>
    <s v="0x22"/>
    <s v="0x4812"/>
    <s v="N/A"/>
    <x v="3"/>
    <s v="N/A"/>
  </r>
  <r>
    <x v="794"/>
    <x v="14"/>
    <s v="0x22"/>
    <s v="0x58ef"/>
    <n v="9914"/>
    <x v="266"/>
    <s v="MPa"/>
  </r>
  <r>
    <x v="795"/>
    <x v="15"/>
    <s v="0x22"/>
    <s v="0x58b7"/>
    <n v="3"/>
    <x v="95"/>
    <s v="hPa"/>
  </r>
  <r>
    <x v="796"/>
    <x v="16"/>
    <s v="0x22"/>
    <s v="0x5800"/>
    <n v="2184"/>
    <x v="267"/>
    <s v="s"/>
  </r>
  <r>
    <x v="797"/>
    <x v="17"/>
    <s v="0x22"/>
    <s v="0x580b"/>
    <n v="25117"/>
    <x v="268"/>
    <s v="hPa"/>
  </r>
  <r>
    <x v="798"/>
    <x v="18"/>
    <s v="0x22"/>
    <s v="0x580f"/>
    <n v="99"/>
    <x v="201"/>
    <s v="degC"/>
  </r>
  <r>
    <x v="799"/>
    <x v="19"/>
    <s v="0x22"/>
    <s v="0x5818"/>
    <n v="4"/>
    <x v="66"/>
    <s v="kg/hr"/>
  </r>
  <r>
    <x v="800"/>
    <x v="20"/>
    <s v="0x22"/>
    <s v="0x4521"/>
    <s v="N/A"/>
    <x v="3"/>
    <s v="N/A"/>
  </r>
  <r>
    <x v="801"/>
    <x v="21"/>
    <s v="0x22"/>
    <s v="0x4abf"/>
    <s v="N/A"/>
    <x v="3"/>
    <s v="N/A"/>
  </r>
  <r>
    <x v="802"/>
    <x v="22"/>
    <s v="0x22"/>
    <s v="0x4ac0"/>
    <s v="N/A"/>
    <x v="3"/>
    <s v="N/A"/>
  </r>
  <r>
    <x v="803"/>
    <x v="23"/>
    <s v="0x22"/>
    <s v="0x4522"/>
    <s v="N/A"/>
    <x v="3"/>
    <s v="N/A"/>
  </r>
  <r>
    <x v="804"/>
    <x v="24"/>
    <s v="0x22"/>
    <s v="0x4403"/>
    <n v="27204"/>
    <x v="171"/>
    <s v="L?"/>
  </r>
  <r>
    <x v="805"/>
    <x v="25"/>
    <s v="0x22"/>
    <s v="0x4a6c"/>
    <s v="N/A"/>
    <x v="3"/>
    <s v="N/A"/>
  </r>
  <r>
    <x v="806"/>
    <x v="0"/>
    <s v="0x22"/>
    <s v="0x5822"/>
    <n v="162"/>
    <x v="0"/>
    <s v="degC"/>
  </r>
  <r>
    <x v="807"/>
    <x v="1"/>
    <s v="0x22"/>
    <s v="0x4300"/>
    <n v="203"/>
    <x v="129"/>
    <s v="degC"/>
  </r>
  <r>
    <x v="808"/>
    <x v="2"/>
    <s v="0x22"/>
    <s v="0x5834"/>
    <n v="26092"/>
    <x v="269"/>
    <s v="hPa"/>
  </r>
  <r>
    <x v="809"/>
    <x v="3"/>
    <s v="0x22"/>
    <s v="0x4411"/>
    <s v="N/A"/>
    <x v="3"/>
    <s v="N/A"/>
  </r>
  <r>
    <x v="810"/>
    <x v="4"/>
    <s v="0x22"/>
    <s v="0x4205"/>
    <n v="13236"/>
    <x v="263"/>
    <s v="hPa"/>
  </r>
  <r>
    <x v="811"/>
    <x v="5"/>
    <s v="0x22"/>
    <s v="0x4807"/>
    <n v="7939"/>
    <x v="270"/>
    <s v="rpm"/>
  </r>
  <r>
    <x v="812"/>
    <x v="6"/>
    <s v="0x22"/>
    <s v="0x5881"/>
    <n v="4"/>
    <x v="84"/>
    <s v="-"/>
  </r>
  <r>
    <x v="813"/>
    <x v="7"/>
    <s v="0x22"/>
    <s v="0x460c"/>
    <n v="605"/>
    <x v="71"/>
    <s v="V"/>
  </r>
  <r>
    <x v="814"/>
    <x v="8"/>
    <s v="0x22"/>
    <s v="0x586f"/>
    <n v="3507"/>
    <x v="271"/>
    <s v="hPa"/>
  </r>
  <r>
    <x v="815"/>
    <x v="9"/>
    <s v="0x22"/>
    <s v="0x5816"/>
    <n v="4640"/>
    <x v="272"/>
    <s v="-"/>
  </r>
  <r>
    <x v="816"/>
    <x v="10"/>
    <s v="0x22"/>
    <s v="0x5889"/>
    <n v="3914"/>
    <x v="154"/>
    <s v="-"/>
  </r>
  <r>
    <x v="817"/>
    <x v="11"/>
    <s v="0x22"/>
    <s v="0x4ab1"/>
    <s v="N/A"/>
    <x v="3"/>
    <s v="N/A"/>
  </r>
  <r>
    <x v="818"/>
    <x v="12"/>
    <s v="0x22"/>
    <s v="0x4811"/>
    <s v="N/A"/>
    <x v="3"/>
    <s v="N/A"/>
  </r>
  <r>
    <x v="819"/>
    <x v="13"/>
    <s v="0x22"/>
    <s v="0x4812"/>
    <s v="N/A"/>
    <x v="3"/>
    <s v="N/A"/>
  </r>
  <r>
    <x v="820"/>
    <x v="14"/>
    <s v="0x22"/>
    <s v="0x58ef"/>
    <n v="18867"/>
    <x v="273"/>
    <s v="MPa"/>
  </r>
  <r>
    <x v="821"/>
    <x v="15"/>
    <s v="0x22"/>
    <s v="0x58b7"/>
    <n v="1"/>
    <x v="6"/>
    <s v="hPa"/>
  </r>
  <r>
    <x v="822"/>
    <x v="16"/>
    <s v="0x22"/>
    <s v="0x5800"/>
    <n v="2254"/>
    <x v="274"/>
    <s v="s"/>
  </r>
  <r>
    <x v="823"/>
    <x v="17"/>
    <s v="0x22"/>
    <s v="0x580b"/>
    <n v="25357"/>
    <x v="275"/>
    <s v="hPa"/>
  </r>
  <r>
    <x v="824"/>
    <x v="18"/>
    <s v="0x22"/>
    <s v="0x580f"/>
    <n v="97"/>
    <x v="230"/>
    <s v="degC"/>
  </r>
  <r>
    <x v="825"/>
    <x v="19"/>
    <s v="0x22"/>
    <s v="0x5818"/>
    <n v="22"/>
    <x v="276"/>
    <s v="kg/hr"/>
  </r>
  <r>
    <x v="826"/>
    <x v="20"/>
    <s v="0x22"/>
    <s v="0x4521"/>
    <s v="N/A"/>
    <x v="3"/>
    <s v="N/A"/>
  </r>
  <r>
    <x v="827"/>
    <x v="21"/>
    <s v="0x22"/>
    <s v="0x4abf"/>
    <s v="N/A"/>
    <x v="3"/>
    <s v="N/A"/>
  </r>
  <r>
    <x v="828"/>
    <x v="22"/>
    <s v="0x22"/>
    <s v="0x4ac0"/>
    <s v="N/A"/>
    <x v="3"/>
    <s v="N/A"/>
  </r>
  <r>
    <x v="829"/>
    <x v="23"/>
    <s v="0x22"/>
    <s v="0x4522"/>
    <s v="N/A"/>
    <x v="3"/>
    <s v="N/A"/>
  </r>
  <r>
    <x v="830"/>
    <x v="24"/>
    <s v="0x22"/>
    <s v="0x4403"/>
    <n v="27270"/>
    <x v="277"/>
    <s v="L?"/>
  </r>
  <r>
    <x v="831"/>
    <x v="25"/>
    <s v="0x22"/>
    <s v="0x4a6c"/>
    <s v="N/A"/>
    <x v="3"/>
    <s v="N/A"/>
  </r>
  <r>
    <x v="832"/>
    <x v="0"/>
    <s v="0x22"/>
    <s v="0x5822"/>
    <n v="163"/>
    <x v="194"/>
    <s v="degC"/>
  </r>
  <r>
    <x v="833"/>
    <x v="1"/>
    <s v="0x22"/>
    <s v="0x4300"/>
    <n v="203"/>
    <x v="129"/>
    <s v="degC"/>
  </r>
  <r>
    <x v="834"/>
    <x v="2"/>
    <s v="0x22"/>
    <s v="0x5834"/>
    <n v="26092"/>
    <x v="269"/>
    <s v="hPa"/>
  </r>
  <r>
    <x v="835"/>
    <x v="3"/>
    <s v="0x22"/>
    <s v="0x4411"/>
    <s v="N/A"/>
    <x v="3"/>
    <s v="N/A"/>
  </r>
  <r>
    <x v="836"/>
    <x v="4"/>
    <s v="0x22"/>
    <s v="0x4205"/>
    <n v="13452"/>
    <x v="278"/>
    <s v="hPa"/>
  </r>
  <r>
    <x v="837"/>
    <x v="5"/>
    <s v="0x22"/>
    <s v="0x4807"/>
    <n v="7451"/>
    <x v="279"/>
    <s v="rpm"/>
  </r>
  <r>
    <x v="838"/>
    <x v="6"/>
    <s v="0x22"/>
    <s v="0x5881"/>
    <n v="5"/>
    <x v="240"/>
    <s v="-"/>
  </r>
  <r>
    <x v="839"/>
    <x v="7"/>
    <s v="0x22"/>
    <s v="0x460c"/>
    <n v="600"/>
    <x v="141"/>
    <s v="V"/>
  </r>
  <r>
    <x v="840"/>
    <x v="8"/>
    <s v="0x22"/>
    <s v="0x586f"/>
    <n v="2868"/>
    <x v="280"/>
    <s v="hPa"/>
  </r>
  <r>
    <x v="841"/>
    <x v="9"/>
    <s v="0x22"/>
    <s v="0x5816"/>
    <n v="3987"/>
    <x v="133"/>
    <s v="-"/>
  </r>
  <r>
    <x v="842"/>
    <x v="10"/>
    <s v="0x22"/>
    <s v="0x5889"/>
    <n v="4011"/>
    <x v="281"/>
    <s v="-"/>
  </r>
  <r>
    <x v="843"/>
    <x v="11"/>
    <s v="0x22"/>
    <s v="0x4ab1"/>
    <s v="N/A"/>
    <x v="3"/>
    <s v="N/A"/>
  </r>
  <r>
    <x v="844"/>
    <x v="12"/>
    <s v="0x22"/>
    <s v="0x4811"/>
    <s v="N/A"/>
    <x v="3"/>
    <s v="N/A"/>
  </r>
  <r>
    <x v="845"/>
    <x v="13"/>
    <s v="0x22"/>
    <s v="0x4812"/>
    <s v="N/A"/>
    <x v="3"/>
    <s v="N/A"/>
  </r>
  <r>
    <x v="846"/>
    <x v="14"/>
    <s v="0x22"/>
    <s v="0x58ef"/>
    <n v="10532"/>
    <x v="282"/>
    <s v="MPa"/>
  </r>
  <r>
    <x v="847"/>
    <x v="15"/>
    <s v="0x22"/>
    <s v="0x58b7"/>
    <n v="1"/>
    <x v="6"/>
    <s v="hPa"/>
  </r>
  <r>
    <x v="848"/>
    <x v="16"/>
    <s v="0x22"/>
    <s v="0x5800"/>
    <n v="2324"/>
    <x v="283"/>
    <s v="s"/>
  </r>
  <r>
    <x v="849"/>
    <x v="17"/>
    <s v="0x22"/>
    <s v="0x580b"/>
    <n v="24724"/>
    <x v="284"/>
    <s v="hPa"/>
  </r>
  <r>
    <x v="850"/>
    <x v="18"/>
    <s v="0x22"/>
    <s v="0x580f"/>
    <n v="95"/>
    <x v="285"/>
    <s v="degC"/>
  </r>
  <r>
    <x v="851"/>
    <x v="19"/>
    <s v="0x22"/>
    <s v="0x5818"/>
    <n v="21"/>
    <x v="286"/>
    <s v="kg/hr"/>
  </r>
  <r>
    <x v="852"/>
    <x v="20"/>
    <s v="0x22"/>
    <s v="0x4521"/>
    <s v="N/A"/>
    <x v="3"/>
    <s v="N/A"/>
  </r>
  <r>
    <x v="853"/>
    <x v="21"/>
    <s v="0x22"/>
    <s v="0x4abf"/>
    <s v="N/A"/>
    <x v="3"/>
    <s v="N/A"/>
  </r>
  <r>
    <x v="854"/>
    <x v="22"/>
    <s v="0x22"/>
    <s v="0x4ac0"/>
    <s v="N/A"/>
    <x v="3"/>
    <s v="N/A"/>
  </r>
  <r>
    <x v="855"/>
    <x v="23"/>
    <s v="0x22"/>
    <s v="0x4522"/>
    <s v="N/A"/>
    <x v="3"/>
    <s v="N/A"/>
  </r>
  <r>
    <x v="856"/>
    <x v="24"/>
    <s v="0x22"/>
    <s v="0x4403"/>
    <n v="27311"/>
    <x v="277"/>
    <s v="L?"/>
  </r>
  <r>
    <x v="857"/>
    <x v="25"/>
    <s v="0x22"/>
    <s v="0x4a6c"/>
    <s v="N/A"/>
    <x v="3"/>
    <s v="N/A"/>
  </r>
  <r>
    <x v="858"/>
    <x v="0"/>
    <s v="0x22"/>
    <s v="0x5822"/>
    <n v="163"/>
    <x v="194"/>
    <s v="degC"/>
  </r>
  <r>
    <x v="859"/>
    <x v="1"/>
    <s v="0x22"/>
    <s v="0x4300"/>
    <n v="203"/>
    <x v="129"/>
    <s v="degC"/>
  </r>
  <r>
    <x v="860"/>
    <x v="2"/>
    <s v="0x22"/>
    <s v="0x5834"/>
    <n v="26092"/>
    <x v="269"/>
    <s v="hPa"/>
  </r>
  <r>
    <x v="861"/>
    <x v="3"/>
    <s v="0x22"/>
    <s v="0x4411"/>
    <s v="N/A"/>
    <x v="3"/>
    <s v="N/A"/>
  </r>
  <r>
    <x v="862"/>
    <x v="4"/>
    <s v="0x22"/>
    <s v="0x4205"/>
    <n v="13358"/>
    <x v="287"/>
    <s v="hPa"/>
  </r>
  <r>
    <x v="863"/>
    <x v="5"/>
    <s v="0x22"/>
    <s v="0x4807"/>
    <n v="7643"/>
    <x v="288"/>
    <s v="rpm"/>
  </r>
  <r>
    <x v="864"/>
    <x v="6"/>
    <s v="0x22"/>
    <s v="0x5881"/>
    <n v="4"/>
    <x v="84"/>
    <s v="-"/>
  </r>
  <r>
    <x v="865"/>
    <x v="7"/>
    <s v="0x22"/>
    <s v="0x460c"/>
    <n v="602"/>
    <x v="96"/>
    <s v="V"/>
  </r>
  <r>
    <x v="866"/>
    <x v="8"/>
    <s v="0x22"/>
    <s v="0x586f"/>
    <n v="2745"/>
    <x v="53"/>
    <s v="hPa"/>
  </r>
  <r>
    <x v="867"/>
    <x v="9"/>
    <s v="0x22"/>
    <s v="0x5816"/>
    <n v="4276"/>
    <x v="289"/>
    <s v="-"/>
  </r>
  <r>
    <x v="868"/>
    <x v="10"/>
    <s v="0x22"/>
    <s v="0x5889"/>
    <n v="4171"/>
    <x v="290"/>
    <s v="-"/>
  </r>
  <r>
    <x v="869"/>
    <x v="11"/>
    <s v="0x22"/>
    <s v="0x4ab1"/>
    <s v="N/A"/>
    <x v="3"/>
    <s v="N/A"/>
  </r>
  <r>
    <x v="870"/>
    <x v="12"/>
    <s v="0x22"/>
    <s v="0x4811"/>
    <s v="N/A"/>
    <x v="3"/>
    <s v="N/A"/>
  </r>
  <r>
    <x v="871"/>
    <x v="13"/>
    <s v="0x22"/>
    <s v="0x4812"/>
    <s v="N/A"/>
    <x v="3"/>
    <s v="N/A"/>
  </r>
  <r>
    <x v="872"/>
    <x v="14"/>
    <s v="0x22"/>
    <s v="0x58ef"/>
    <n v="13919"/>
    <x v="291"/>
    <s v="MPa"/>
  </r>
  <r>
    <x v="873"/>
    <x v="15"/>
    <s v="0x22"/>
    <s v="0x58b7"/>
    <n v="1"/>
    <x v="6"/>
    <s v="hPa"/>
  </r>
  <r>
    <x v="874"/>
    <x v="16"/>
    <s v="0x22"/>
    <s v="0x5800"/>
    <n v="2395"/>
    <x v="292"/>
    <s v="s"/>
  </r>
  <r>
    <x v="875"/>
    <x v="17"/>
    <s v="0x22"/>
    <s v="0x580b"/>
    <n v="24733"/>
    <x v="293"/>
    <s v="hPa"/>
  </r>
  <r>
    <x v="876"/>
    <x v="18"/>
    <s v="0x22"/>
    <s v="0x580f"/>
    <n v="95"/>
    <x v="285"/>
    <s v="degC"/>
  </r>
  <r>
    <x v="877"/>
    <x v="19"/>
    <s v="0x22"/>
    <s v="0x5818"/>
    <n v="7"/>
    <x v="294"/>
    <s v="kg/hr"/>
  </r>
  <r>
    <x v="878"/>
    <x v="20"/>
    <s v="0x22"/>
    <s v="0x4521"/>
    <s v="N/A"/>
    <x v="3"/>
    <s v="N/A"/>
  </r>
  <r>
    <x v="879"/>
    <x v="21"/>
    <s v="0x22"/>
    <s v="0x4abf"/>
    <s v="N/A"/>
    <x v="3"/>
    <s v="N/A"/>
  </r>
  <r>
    <x v="880"/>
    <x v="22"/>
    <s v="0x22"/>
    <s v="0x4ac0"/>
    <s v="N/A"/>
    <x v="3"/>
    <s v="N/A"/>
  </r>
  <r>
    <x v="881"/>
    <x v="23"/>
    <s v="0x22"/>
    <s v="0x4522"/>
    <s v="N/A"/>
    <x v="3"/>
    <s v="N/A"/>
  </r>
  <r>
    <x v="882"/>
    <x v="24"/>
    <s v="0x22"/>
    <s v="0x4403"/>
    <n v="27345"/>
    <x v="295"/>
    <s v="L?"/>
  </r>
  <r>
    <x v="883"/>
    <x v="25"/>
    <s v="0x22"/>
    <s v="0x4a6c"/>
    <s v="N/A"/>
    <x v="3"/>
    <s v="N/A"/>
  </r>
  <r>
    <x v="884"/>
    <x v="0"/>
    <s v="0x22"/>
    <s v="0x5822"/>
    <n v="163"/>
    <x v="194"/>
    <s v="degC"/>
  </r>
  <r>
    <x v="885"/>
    <x v="1"/>
    <s v="0x22"/>
    <s v="0x4300"/>
    <n v="204"/>
    <x v="138"/>
    <s v="degC"/>
  </r>
  <r>
    <x v="886"/>
    <x v="2"/>
    <s v="0x22"/>
    <s v="0x5834"/>
    <n v="26092"/>
    <x v="269"/>
    <s v="hPa"/>
  </r>
  <r>
    <x v="887"/>
    <x v="3"/>
    <s v="0x22"/>
    <s v="0x4411"/>
    <s v="N/A"/>
    <x v="3"/>
    <s v="N/A"/>
  </r>
  <r>
    <x v="888"/>
    <x v="4"/>
    <s v="0x22"/>
    <s v="0x4205"/>
    <n v="13229"/>
    <x v="296"/>
    <s v="hPa"/>
  </r>
  <r>
    <x v="889"/>
    <x v="5"/>
    <s v="0x22"/>
    <s v="0x4807"/>
    <n v="8177"/>
    <x v="297"/>
    <s v="rpm"/>
  </r>
  <r>
    <x v="890"/>
    <x v="6"/>
    <s v="0x22"/>
    <s v="0x5881"/>
    <n v="4"/>
    <x v="84"/>
    <s v="-"/>
  </r>
  <r>
    <x v="891"/>
    <x v="7"/>
    <s v="0x22"/>
    <s v="0x460c"/>
    <n v="603"/>
    <x v="52"/>
    <s v="V"/>
  </r>
  <r>
    <x v="892"/>
    <x v="8"/>
    <s v="0x22"/>
    <s v="0x586f"/>
    <n v="3206"/>
    <x v="298"/>
    <s v="hPa"/>
  </r>
  <r>
    <x v="893"/>
    <x v="9"/>
    <s v="0x22"/>
    <s v="0x5816"/>
    <n v="17"/>
    <x v="21"/>
    <s v="-"/>
  </r>
  <r>
    <x v="894"/>
    <x v="10"/>
    <s v="0x22"/>
    <s v="0x5889"/>
    <n v="3929"/>
    <x v="154"/>
    <s v="-"/>
  </r>
  <r>
    <x v="895"/>
    <x v="11"/>
    <s v="0x22"/>
    <s v="0x4ab1"/>
    <s v="N/A"/>
    <x v="3"/>
    <s v="N/A"/>
  </r>
  <r>
    <x v="896"/>
    <x v="12"/>
    <s v="0x22"/>
    <s v="0x4811"/>
    <s v="N/A"/>
    <x v="3"/>
    <s v="N/A"/>
  </r>
  <r>
    <x v="897"/>
    <x v="13"/>
    <s v="0x22"/>
    <s v="0x4812"/>
    <s v="N/A"/>
    <x v="3"/>
    <s v="N/A"/>
  </r>
  <r>
    <x v="898"/>
    <x v="14"/>
    <s v="0x22"/>
    <s v="0x58ef"/>
    <n v="10570"/>
    <x v="299"/>
    <s v="MPa"/>
  </r>
  <r>
    <x v="899"/>
    <x v="15"/>
    <s v="0x22"/>
    <s v="0x58b7"/>
    <n v="1"/>
    <x v="6"/>
    <s v="hPa"/>
  </r>
  <r>
    <x v="900"/>
    <x v="16"/>
    <s v="0x22"/>
    <s v="0x5800"/>
    <n v="2464"/>
    <x v="300"/>
    <s v="s"/>
  </r>
  <r>
    <x v="901"/>
    <x v="17"/>
    <s v="0x22"/>
    <s v="0x580b"/>
    <n v="24897"/>
    <x v="301"/>
    <s v="hPa"/>
  </r>
  <r>
    <x v="902"/>
    <x v="18"/>
    <s v="0x22"/>
    <s v="0x580f"/>
    <n v="95"/>
    <x v="285"/>
    <s v="degC"/>
  </r>
  <r>
    <x v="903"/>
    <x v="19"/>
    <s v="0x22"/>
    <s v="0x5818"/>
    <n v="6"/>
    <x v="148"/>
    <s v="kg/hr"/>
  </r>
  <r>
    <x v="904"/>
    <x v="20"/>
    <s v="0x22"/>
    <s v="0x4521"/>
    <s v="N/A"/>
    <x v="3"/>
    <s v="N/A"/>
  </r>
  <r>
    <x v="905"/>
    <x v="21"/>
    <s v="0x22"/>
    <s v="0x4abf"/>
    <s v="N/A"/>
    <x v="3"/>
    <s v="N/A"/>
  </r>
  <r>
    <x v="906"/>
    <x v="22"/>
    <s v="0x22"/>
    <s v="0x4ac0"/>
    <s v="N/A"/>
    <x v="3"/>
    <s v="N/A"/>
  </r>
  <r>
    <x v="907"/>
    <x v="23"/>
    <s v="0x22"/>
    <s v="0x4522"/>
    <s v="N/A"/>
    <x v="3"/>
    <s v="N/A"/>
  </r>
  <r>
    <x v="908"/>
    <x v="24"/>
    <s v="0x22"/>
    <s v="0x4403"/>
    <n v="27370"/>
    <x v="295"/>
    <s v="L?"/>
  </r>
  <r>
    <x v="909"/>
    <x v="25"/>
    <s v="0x22"/>
    <s v="0x4a6c"/>
    <s v="N/A"/>
    <x v="3"/>
    <s v="N/A"/>
  </r>
  <r>
    <x v="910"/>
    <x v="0"/>
    <s v="0x22"/>
    <s v="0x5822"/>
    <n v="163"/>
    <x v="194"/>
    <s v="degC"/>
  </r>
  <r>
    <x v="911"/>
    <x v="1"/>
    <s v="0x22"/>
    <s v="0x4300"/>
    <n v="204"/>
    <x v="138"/>
    <s v="degC"/>
  </r>
  <r>
    <x v="912"/>
    <x v="2"/>
    <s v="0x22"/>
    <s v="0x5834"/>
    <n v="26092"/>
    <x v="269"/>
    <s v="hPa"/>
  </r>
  <r>
    <x v="913"/>
    <x v="3"/>
    <s v="0x22"/>
    <s v="0x4411"/>
    <s v="N/A"/>
    <x v="3"/>
    <s v="N/A"/>
  </r>
  <r>
    <x v="914"/>
    <x v="4"/>
    <s v="0x22"/>
    <s v="0x4205"/>
    <n v="13200"/>
    <x v="302"/>
    <s v="hPa"/>
  </r>
  <r>
    <x v="915"/>
    <x v="5"/>
    <s v="0x22"/>
    <s v="0x4807"/>
    <n v="7615"/>
    <x v="303"/>
    <s v="rpm"/>
  </r>
  <r>
    <x v="916"/>
    <x v="6"/>
    <s v="0x22"/>
    <s v="0x5881"/>
    <n v="4"/>
    <x v="84"/>
    <s v="-"/>
  </r>
  <r>
    <x v="917"/>
    <x v="7"/>
    <s v="0x22"/>
    <s v="0x460c"/>
    <n v="602"/>
    <x v="96"/>
    <s v="V"/>
  </r>
  <r>
    <x v="918"/>
    <x v="8"/>
    <s v="0x22"/>
    <s v="0x586f"/>
    <n v="3086"/>
    <x v="304"/>
    <s v="hPa"/>
  </r>
  <r>
    <x v="919"/>
    <x v="9"/>
    <s v="0x22"/>
    <s v="0x5816"/>
    <n v="5525"/>
    <x v="305"/>
    <s v="-"/>
  </r>
  <r>
    <x v="920"/>
    <x v="10"/>
    <s v="0x22"/>
    <s v="0x5889"/>
    <n v="11938"/>
    <x v="306"/>
    <s v="-"/>
  </r>
  <r>
    <x v="921"/>
    <x v="11"/>
    <s v="0x22"/>
    <s v="0x4ab1"/>
    <s v="N/A"/>
    <x v="3"/>
    <s v="N/A"/>
  </r>
  <r>
    <x v="922"/>
    <x v="12"/>
    <s v="0x22"/>
    <s v="0x4811"/>
    <s v="N/A"/>
    <x v="3"/>
    <s v="N/A"/>
  </r>
  <r>
    <x v="923"/>
    <x v="13"/>
    <s v="0x22"/>
    <s v="0x4812"/>
    <s v="N/A"/>
    <x v="3"/>
    <s v="N/A"/>
  </r>
  <r>
    <x v="924"/>
    <x v="14"/>
    <s v="0x22"/>
    <s v="0x58ef"/>
    <n v="10082"/>
    <x v="307"/>
    <s v="MPa"/>
  </r>
  <r>
    <x v="925"/>
    <x v="15"/>
    <s v="0x22"/>
    <s v="0x58b7"/>
    <n v="5"/>
    <x v="240"/>
    <s v="hPa"/>
  </r>
  <r>
    <x v="926"/>
    <x v="16"/>
    <s v="0x22"/>
    <s v="0x5800"/>
    <n v="2533"/>
    <x v="308"/>
    <s v="s"/>
  </r>
  <r>
    <x v="927"/>
    <x v="17"/>
    <s v="0x22"/>
    <s v="0x580b"/>
    <n v="24714"/>
    <x v="309"/>
    <s v="hPa"/>
  </r>
  <r>
    <x v="928"/>
    <x v="18"/>
    <s v="0x22"/>
    <s v="0x580f"/>
    <n v="95"/>
    <x v="285"/>
    <s v="degC"/>
  </r>
  <r>
    <x v="929"/>
    <x v="19"/>
    <s v="0x22"/>
    <s v="0x5818"/>
    <n v="3"/>
    <x v="27"/>
    <s v="kg/hr"/>
  </r>
  <r>
    <x v="930"/>
    <x v="20"/>
    <s v="0x22"/>
    <s v="0x4521"/>
    <s v="N/A"/>
    <x v="3"/>
    <s v="N/A"/>
  </r>
  <r>
    <x v="931"/>
    <x v="21"/>
    <s v="0x22"/>
    <s v="0x4abf"/>
    <s v="N/A"/>
    <x v="3"/>
    <s v="N/A"/>
  </r>
  <r>
    <x v="932"/>
    <x v="22"/>
    <s v="0x22"/>
    <s v="0x4ac0"/>
    <s v="N/A"/>
    <x v="3"/>
    <s v="N/A"/>
  </r>
  <r>
    <x v="933"/>
    <x v="23"/>
    <s v="0x22"/>
    <s v="0x4522"/>
    <s v="N/A"/>
    <x v="3"/>
    <s v="N/A"/>
  </r>
  <r>
    <x v="934"/>
    <x v="24"/>
    <s v="0x22"/>
    <s v="0x4403"/>
    <n v="27379"/>
    <x v="295"/>
    <s v="L?"/>
  </r>
  <r>
    <x v="935"/>
    <x v="25"/>
    <s v="0x22"/>
    <s v="0x4a6c"/>
    <s v="N/A"/>
    <x v="3"/>
    <s v="N/A"/>
  </r>
  <r>
    <x v="936"/>
    <x v="0"/>
    <s v="0x22"/>
    <s v="0x5822"/>
    <n v="163"/>
    <x v="194"/>
    <s v="degC"/>
  </r>
  <r>
    <x v="937"/>
    <x v="1"/>
    <s v="0x22"/>
    <s v="0x4300"/>
    <n v="204"/>
    <x v="138"/>
    <s v="degC"/>
  </r>
  <r>
    <x v="938"/>
    <x v="2"/>
    <s v="0x22"/>
    <s v="0x5834"/>
    <n v="26092"/>
    <x v="269"/>
    <s v="hPa"/>
  </r>
  <r>
    <x v="939"/>
    <x v="3"/>
    <s v="0x22"/>
    <s v="0x4411"/>
    <s v="N/A"/>
    <x v="3"/>
    <s v="N/A"/>
  </r>
  <r>
    <x v="940"/>
    <x v="4"/>
    <s v="0x22"/>
    <s v="0x4205"/>
    <n v="52"/>
    <x v="310"/>
    <s v="hPa"/>
  </r>
  <r>
    <x v="941"/>
    <x v="5"/>
    <s v="0x22"/>
    <s v="0x4807"/>
    <n v="3599"/>
    <x v="311"/>
    <s v="rpm"/>
  </r>
  <r>
    <x v="942"/>
    <x v="6"/>
    <s v="0x22"/>
    <s v="0x5881"/>
    <n v="2"/>
    <x v="43"/>
    <s v="-"/>
  </r>
  <r>
    <x v="943"/>
    <x v="7"/>
    <s v="0x22"/>
    <s v="0x460c"/>
    <n v="600"/>
    <x v="141"/>
    <s v="V"/>
  </r>
  <r>
    <x v="944"/>
    <x v="8"/>
    <s v="0x22"/>
    <s v="0x586f"/>
    <n v="2605"/>
    <x v="312"/>
    <s v="hPa"/>
  </r>
  <r>
    <x v="945"/>
    <x v="9"/>
    <s v="0x22"/>
    <s v="0x5816"/>
    <n v="3767"/>
    <x v="99"/>
    <s v="-"/>
  </r>
  <r>
    <x v="946"/>
    <x v="10"/>
    <s v="0x22"/>
    <s v="0x5889"/>
    <n v="3853"/>
    <x v="34"/>
    <s v="-"/>
  </r>
  <r>
    <x v="947"/>
    <x v="11"/>
    <s v="0x22"/>
    <s v="0x4ab1"/>
    <s v="N/A"/>
    <x v="3"/>
    <s v="N/A"/>
  </r>
  <r>
    <x v="948"/>
    <x v="12"/>
    <s v="0x22"/>
    <s v="0x4811"/>
    <s v="N/A"/>
    <x v="3"/>
    <s v="N/A"/>
  </r>
  <r>
    <x v="949"/>
    <x v="13"/>
    <s v="0x22"/>
    <s v="0x4812"/>
    <s v="N/A"/>
    <x v="3"/>
    <s v="N/A"/>
  </r>
  <r>
    <x v="950"/>
    <x v="14"/>
    <s v="0x22"/>
    <s v="0x58ef"/>
    <n v="14148"/>
    <x v="313"/>
    <s v="MPa"/>
  </r>
  <r>
    <x v="951"/>
    <x v="15"/>
    <s v="0x22"/>
    <s v="0x58b7"/>
    <n v="1"/>
    <x v="6"/>
    <s v="hPa"/>
  </r>
  <r>
    <x v="952"/>
    <x v="16"/>
    <s v="0x22"/>
    <s v="0x5800"/>
    <n v="2603"/>
    <x v="314"/>
    <s v="s"/>
  </r>
  <r>
    <x v="953"/>
    <x v="17"/>
    <s v="0x22"/>
    <s v="0x580b"/>
    <n v="24634"/>
    <x v="315"/>
    <s v="hPa"/>
  </r>
  <r>
    <x v="954"/>
    <x v="18"/>
    <s v="0x22"/>
    <s v="0x580f"/>
    <n v="96"/>
    <x v="148"/>
    <s v="degC"/>
  </r>
  <r>
    <x v="955"/>
    <x v="19"/>
    <s v="0x22"/>
    <s v="0x5818"/>
    <n v="3"/>
    <x v="27"/>
    <s v="kg/hr"/>
  </r>
  <r>
    <x v="956"/>
    <x v="20"/>
    <s v="0x22"/>
    <s v="0x4521"/>
    <s v="N/A"/>
    <x v="3"/>
    <s v="N/A"/>
  </r>
  <r>
    <x v="957"/>
    <x v="21"/>
    <s v="0x22"/>
    <s v="0x4abf"/>
    <s v="N/A"/>
    <x v="3"/>
    <s v="N/A"/>
  </r>
  <r>
    <x v="958"/>
    <x v="22"/>
    <s v="0x22"/>
    <s v="0x4ac0"/>
    <s v="N/A"/>
    <x v="3"/>
    <s v="N/A"/>
  </r>
  <r>
    <x v="959"/>
    <x v="23"/>
    <s v="0x22"/>
    <s v="0x4522"/>
    <s v="N/A"/>
    <x v="3"/>
    <s v="N/A"/>
  </r>
  <r>
    <x v="960"/>
    <x v="24"/>
    <s v="0x22"/>
    <s v="0x4403"/>
    <n v="27404"/>
    <x v="316"/>
    <s v="L?"/>
  </r>
  <r>
    <x v="961"/>
    <x v="25"/>
    <s v="0x22"/>
    <s v="0x4a6c"/>
    <s v="N/A"/>
    <x v="3"/>
    <s v="N/A"/>
  </r>
  <r>
    <x v="962"/>
    <x v="0"/>
    <s v="0x22"/>
    <s v="0x5822"/>
    <n v="163"/>
    <x v="194"/>
    <s v="degC"/>
  </r>
  <r>
    <x v="963"/>
    <x v="1"/>
    <s v="0x22"/>
    <s v="0x4300"/>
    <n v="204"/>
    <x v="138"/>
    <s v="degC"/>
  </r>
  <r>
    <x v="964"/>
    <x v="2"/>
    <s v="0x22"/>
    <s v="0x5834"/>
    <n v="26092"/>
    <x v="269"/>
    <s v="hPa"/>
  </r>
  <r>
    <x v="965"/>
    <x v="3"/>
    <s v="0x22"/>
    <s v="0x4411"/>
    <s v="N/A"/>
    <x v="3"/>
    <s v="N/A"/>
  </r>
  <r>
    <x v="966"/>
    <x v="4"/>
    <s v="0x22"/>
    <s v="0x4205"/>
    <n v="13596"/>
    <x v="317"/>
    <s v="hPa"/>
  </r>
  <r>
    <x v="967"/>
    <x v="5"/>
    <s v="0x22"/>
    <s v="0x4807"/>
    <n v="8745"/>
    <x v="318"/>
    <s v="rpm"/>
  </r>
  <r>
    <x v="968"/>
    <x v="6"/>
    <s v="0x22"/>
    <s v="0x5881"/>
    <n v="3"/>
    <x v="95"/>
    <s v="-"/>
  </r>
  <r>
    <x v="969"/>
    <x v="7"/>
    <s v="0x22"/>
    <s v="0x460c"/>
    <n v="603"/>
    <x v="52"/>
    <s v="V"/>
  </r>
  <r>
    <x v="970"/>
    <x v="8"/>
    <s v="0x22"/>
    <s v="0x586f"/>
    <n v="2903"/>
    <x v="319"/>
    <s v="hPa"/>
  </r>
  <r>
    <x v="971"/>
    <x v="9"/>
    <s v="0x22"/>
    <s v="0x5816"/>
    <n v="4088"/>
    <x v="6"/>
    <s v="-"/>
  </r>
  <r>
    <x v="972"/>
    <x v="10"/>
    <s v="0x22"/>
    <s v="0x5889"/>
    <n v="4132"/>
    <x v="45"/>
    <s v="-"/>
  </r>
  <r>
    <x v="973"/>
    <x v="11"/>
    <s v="0x22"/>
    <s v="0x4ab1"/>
    <s v="N/A"/>
    <x v="3"/>
    <s v="N/A"/>
  </r>
  <r>
    <x v="974"/>
    <x v="12"/>
    <s v="0x22"/>
    <s v="0x4811"/>
    <s v="N/A"/>
    <x v="3"/>
    <s v="N/A"/>
  </r>
  <r>
    <x v="975"/>
    <x v="13"/>
    <s v="0x22"/>
    <s v="0x4812"/>
    <s v="N/A"/>
    <x v="3"/>
    <s v="N/A"/>
  </r>
  <r>
    <x v="976"/>
    <x v="14"/>
    <s v="0x22"/>
    <s v="0x58ef"/>
    <n v="13038"/>
    <x v="320"/>
    <s v="MPa"/>
  </r>
  <r>
    <x v="977"/>
    <x v="15"/>
    <s v="0x22"/>
    <s v="0x58b7"/>
    <n v="1"/>
    <x v="6"/>
    <s v="hPa"/>
  </r>
  <r>
    <x v="978"/>
    <x v="16"/>
    <s v="0x22"/>
    <s v="0x5800"/>
    <n v="2673"/>
    <x v="321"/>
    <s v="s"/>
  </r>
  <r>
    <x v="979"/>
    <x v="17"/>
    <s v="0x22"/>
    <s v="0x580b"/>
    <n v="24916"/>
    <x v="322"/>
    <s v="hPa"/>
  </r>
  <r>
    <x v="980"/>
    <x v="18"/>
    <s v="0x22"/>
    <s v="0x580f"/>
    <n v="94"/>
    <x v="37"/>
    <s v="degC"/>
  </r>
  <r>
    <x v="981"/>
    <x v="19"/>
    <s v="0x22"/>
    <s v="0x5818"/>
    <n v="5"/>
    <x v="182"/>
    <s v="kg/hr"/>
  </r>
  <r>
    <x v="982"/>
    <x v="20"/>
    <s v="0x22"/>
    <s v="0x4521"/>
    <s v="N/A"/>
    <x v="3"/>
    <s v="N/A"/>
  </r>
  <r>
    <x v="983"/>
    <x v="21"/>
    <s v="0x22"/>
    <s v="0x4abf"/>
    <s v="N/A"/>
    <x v="3"/>
    <s v="N/A"/>
  </r>
  <r>
    <x v="984"/>
    <x v="22"/>
    <s v="0x22"/>
    <s v="0x4ac0"/>
    <s v="N/A"/>
    <x v="3"/>
    <s v="N/A"/>
  </r>
  <r>
    <x v="985"/>
    <x v="23"/>
    <s v="0x22"/>
    <s v="0x4522"/>
    <s v="N/A"/>
    <x v="3"/>
    <s v="N/A"/>
  </r>
  <r>
    <x v="986"/>
    <x v="24"/>
    <s v="0x22"/>
    <s v="0x4403"/>
    <n v="27464"/>
    <x v="316"/>
    <s v="L?"/>
  </r>
  <r>
    <x v="987"/>
    <x v="25"/>
    <s v="0x22"/>
    <s v="0x4a6c"/>
    <s v="N/A"/>
    <x v="3"/>
    <s v="N/A"/>
  </r>
  <r>
    <x v="988"/>
    <x v="0"/>
    <s v="0x22"/>
    <s v="0x5822"/>
    <n v="163"/>
    <x v="194"/>
    <s v="degC"/>
  </r>
  <r>
    <x v="989"/>
    <x v="1"/>
    <s v="0x22"/>
    <s v="0x4300"/>
    <n v="204"/>
    <x v="138"/>
    <s v="degC"/>
  </r>
  <r>
    <x v="990"/>
    <x v="2"/>
    <s v="0x22"/>
    <s v="0x5834"/>
    <n v="26124"/>
    <x v="323"/>
    <s v="hPa"/>
  </r>
  <r>
    <x v="991"/>
    <x v="3"/>
    <s v="0x22"/>
    <s v="0x4411"/>
    <s v="N/A"/>
    <x v="3"/>
    <s v="N/A"/>
  </r>
  <r>
    <x v="992"/>
    <x v="4"/>
    <s v="0x22"/>
    <s v="0x4205"/>
    <n v="13344"/>
    <x v="324"/>
    <s v="hPa"/>
  </r>
  <r>
    <x v="993"/>
    <x v="5"/>
    <s v="0x22"/>
    <s v="0x4807"/>
    <n v="9343"/>
    <x v="325"/>
    <s v="rpm"/>
  </r>
  <r>
    <x v="994"/>
    <x v="6"/>
    <s v="0x22"/>
    <s v="0x5881"/>
    <n v="3"/>
    <x v="95"/>
    <s v="-"/>
  </r>
  <r>
    <x v="995"/>
    <x v="7"/>
    <s v="0x22"/>
    <s v="0x460c"/>
    <n v="605"/>
    <x v="71"/>
    <s v="V"/>
  </r>
  <r>
    <x v="996"/>
    <x v="8"/>
    <s v="0x22"/>
    <s v="0x586f"/>
    <n v="2876"/>
    <x v="326"/>
    <s v="hPa"/>
  </r>
  <r>
    <x v="997"/>
    <x v="9"/>
    <s v="0x22"/>
    <s v="0x5816"/>
    <n v="48350"/>
    <x v="327"/>
    <s v="-"/>
  </r>
  <r>
    <x v="998"/>
    <x v="10"/>
    <s v="0x22"/>
    <s v="0x5889"/>
    <n v="65299"/>
    <x v="205"/>
    <s v="-"/>
  </r>
  <r>
    <x v="999"/>
    <x v="11"/>
    <s v="0x22"/>
    <s v="0x4ab1"/>
    <s v="N/A"/>
    <x v="3"/>
    <s v="N/A"/>
  </r>
  <r>
    <x v="1000"/>
    <x v="12"/>
    <s v="0x22"/>
    <s v="0x4811"/>
    <s v="N/A"/>
    <x v="3"/>
    <s v="N/A"/>
  </r>
  <r>
    <x v="1001"/>
    <x v="13"/>
    <s v="0x22"/>
    <s v="0x4812"/>
    <s v="N/A"/>
    <x v="3"/>
    <s v="N/A"/>
  </r>
  <r>
    <x v="1002"/>
    <x v="14"/>
    <s v="0x22"/>
    <s v="0x58ef"/>
    <n v="10555"/>
    <x v="299"/>
    <s v="MPa"/>
  </r>
  <r>
    <x v="1003"/>
    <x v="15"/>
    <s v="0x22"/>
    <s v="0x58b7"/>
    <n v="1"/>
    <x v="6"/>
    <s v="hPa"/>
  </r>
  <r>
    <x v="1004"/>
    <x v="16"/>
    <s v="0x22"/>
    <s v="0x5800"/>
    <n v="2743"/>
    <x v="328"/>
    <s v="s"/>
  </r>
  <r>
    <x v="1005"/>
    <x v="17"/>
    <s v="0x22"/>
    <s v="0x580b"/>
    <n v="24762"/>
    <x v="329"/>
    <s v="hPa"/>
  </r>
  <r>
    <x v="1006"/>
    <x v="18"/>
    <s v="0x22"/>
    <s v="0x580f"/>
    <n v="94"/>
    <x v="37"/>
    <s v="degC"/>
  </r>
  <r>
    <x v="1007"/>
    <x v="19"/>
    <s v="0x22"/>
    <s v="0x5818"/>
    <n v="5"/>
    <x v="182"/>
    <s v="kg/hr"/>
  </r>
  <r>
    <x v="1008"/>
    <x v="20"/>
    <s v="0x22"/>
    <s v="0x4521"/>
    <s v="N/A"/>
    <x v="3"/>
    <s v="N/A"/>
  </r>
  <r>
    <x v="1009"/>
    <x v="21"/>
    <s v="0x22"/>
    <s v="0x4abf"/>
    <s v="N/A"/>
    <x v="3"/>
    <s v="N/A"/>
  </r>
  <r>
    <x v="1010"/>
    <x v="22"/>
    <s v="0x22"/>
    <s v="0x4ac0"/>
    <s v="N/A"/>
    <x v="3"/>
    <s v="N/A"/>
  </r>
  <r>
    <x v="1011"/>
    <x v="23"/>
    <s v="0x22"/>
    <s v="0x4522"/>
    <s v="N/A"/>
    <x v="3"/>
    <s v="N/A"/>
  </r>
  <r>
    <x v="1012"/>
    <x v="24"/>
    <s v="0x22"/>
    <s v="0x4403"/>
    <n v="27472"/>
    <x v="316"/>
    <s v="L?"/>
  </r>
  <r>
    <x v="1013"/>
    <x v="25"/>
    <s v="0x22"/>
    <s v="0x4a6c"/>
    <s v="N/A"/>
    <x v="3"/>
    <s v="N/A"/>
  </r>
  <r>
    <x v="1014"/>
    <x v="0"/>
    <s v="0x22"/>
    <s v="0x5822"/>
    <n v="163"/>
    <x v="194"/>
    <s v="degC"/>
  </r>
  <r>
    <x v="1015"/>
    <x v="1"/>
    <s v="0x22"/>
    <s v="0x4300"/>
    <n v="204"/>
    <x v="138"/>
    <s v="degC"/>
  </r>
  <r>
    <x v="1016"/>
    <x v="2"/>
    <s v="0x22"/>
    <s v="0x5834"/>
    <n v="26124"/>
    <x v="323"/>
    <s v="hPa"/>
  </r>
  <r>
    <x v="1017"/>
    <x v="3"/>
    <s v="0x22"/>
    <s v="0x4411"/>
    <s v="N/A"/>
    <x v="3"/>
    <s v="N/A"/>
  </r>
  <r>
    <x v="1018"/>
    <x v="4"/>
    <s v="0x22"/>
    <s v="0x4205"/>
    <n v="13165"/>
    <x v="195"/>
    <s v="hPa"/>
  </r>
  <r>
    <x v="1019"/>
    <x v="5"/>
    <s v="0x22"/>
    <s v="0x4807"/>
    <n v="4329"/>
    <x v="330"/>
    <s v="rpm"/>
  </r>
  <r>
    <x v="1020"/>
    <x v="6"/>
    <s v="0x22"/>
    <s v="0x5881"/>
    <n v="3"/>
    <x v="95"/>
    <s v="-"/>
  </r>
  <r>
    <x v="1021"/>
    <x v="7"/>
    <s v="0x22"/>
    <s v="0x460c"/>
    <n v="599"/>
    <x v="331"/>
    <s v="V"/>
  </r>
  <r>
    <x v="1022"/>
    <x v="8"/>
    <s v="0x22"/>
    <s v="0x586f"/>
    <n v="2849"/>
    <x v="332"/>
    <s v="hPa"/>
  </r>
  <r>
    <x v="1023"/>
    <x v="9"/>
    <s v="0x22"/>
    <s v="0x5816"/>
    <n v="4077"/>
    <x v="6"/>
    <s v="-"/>
  </r>
  <r>
    <x v="1024"/>
    <x v="10"/>
    <s v="0x22"/>
    <s v="0x5889"/>
    <n v="4098"/>
    <x v="6"/>
    <s v="-"/>
  </r>
  <r>
    <x v="1025"/>
    <x v="11"/>
    <s v="0x22"/>
    <s v="0x4ab1"/>
    <s v="N/A"/>
    <x v="3"/>
    <s v="N/A"/>
  </r>
  <r>
    <x v="1026"/>
    <x v="12"/>
    <s v="0x22"/>
    <s v="0x4811"/>
    <s v="N/A"/>
    <x v="3"/>
    <s v="N/A"/>
  </r>
  <r>
    <x v="1027"/>
    <x v="13"/>
    <s v="0x22"/>
    <s v="0x4812"/>
    <s v="N/A"/>
    <x v="3"/>
    <s v="N/A"/>
  </r>
  <r>
    <x v="1028"/>
    <x v="14"/>
    <s v="0x22"/>
    <s v="0x58ef"/>
    <n v="10235"/>
    <x v="333"/>
    <s v="MPa"/>
  </r>
  <r>
    <x v="1029"/>
    <x v="15"/>
    <s v="0x22"/>
    <s v="0x58b7"/>
    <n v="1"/>
    <x v="6"/>
    <s v="hPa"/>
  </r>
  <r>
    <x v="1030"/>
    <x v="16"/>
    <s v="0x22"/>
    <s v="0x5800"/>
    <n v="2813"/>
    <x v="334"/>
    <s v="s"/>
  </r>
  <r>
    <x v="1031"/>
    <x v="17"/>
    <s v="0x22"/>
    <s v="0x580b"/>
    <n v="24730"/>
    <x v="335"/>
    <s v="hPa"/>
  </r>
  <r>
    <x v="1032"/>
    <x v="18"/>
    <s v="0x22"/>
    <s v="0x580f"/>
    <n v="94"/>
    <x v="37"/>
    <s v="degC"/>
  </r>
  <r>
    <x v="1033"/>
    <x v="19"/>
    <s v="0x22"/>
    <s v="0x5818"/>
    <n v="5"/>
    <x v="182"/>
    <s v="kg/hr"/>
  </r>
  <r>
    <x v="1034"/>
    <x v="20"/>
    <s v="0x22"/>
    <s v="0x4521"/>
    <s v="N/A"/>
    <x v="3"/>
    <s v="N/A"/>
  </r>
  <r>
    <x v="1035"/>
    <x v="21"/>
    <s v="0x22"/>
    <s v="0x4abf"/>
    <s v="N/A"/>
    <x v="3"/>
    <s v="N/A"/>
  </r>
  <r>
    <x v="1036"/>
    <x v="22"/>
    <s v="0x22"/>
    <s v="0x4ac0"/>
    <s v="N/A"/>
    <x v="3"/>
    <s v="N/A"/>
  </r>
  <r>
    <x v="1037"/>
    <x v="23"/>
    <s v="0x22"/>
    <s v="0x4522"/>
    <s v="N/A"/>
    <x v="3"/>
    <s v="N/A"/>
  </r>
  <r>
    <x v="1038"/>
    <x v="24"/>
    <s v="0x22"/>
    <s v="0x4403"/>
    <n v="27500"/>
    <x v="336"/>
    <s v="L?"/>
  </r>
  <r>
    <x v="1039"/>
    <x v="25"/>
    <s v="0x22"/>
    <s v="0x4a6c"/>
    <s v="N/A"/>
    <x v="3"/>
    <s v="N/A"/>
  </r>
  <r>
    <x v="1040"/>
    <x v="0"/>
    <s v="0x22"/>
    <s v="0x5822"/>
    <n v="163"/>
    <x v="194"/>
    <s v="degC"/>
  </r>
  <r>
    <x v="1041"/>
    <x v="1"/>
    <s v="0x22"/>
    <s v="0x4300"/>
    <n v="203"/>
    <x v="129"/>
    <s v="degC"/>
  </r>
  <r>
    <x v="1042"/>
    <x v="2"/>
    <s v="0x22"/>
    <s v="0x5834"/>
    <n v="26124"/>
    <x v="323"/>
    <s v="hPa"/>
  </r>
  <r>
    <x v="1043"/>
    <x v="3"/>
    <s v="0x22"/>
    <s v="0x4411"/>
    <s v="N/A"/>
    <x v="3"/>
    <s v="N/A"/>
  </r>
  <r>
    <x v="1044"/>
    <x v="4"/>
    <s v="0x22"/>
    <s v="0x4205"/>
    <n v="13696"/>
    <x v="337"/>
    <s v="hPa"/>
  </r>
  <r>
    <x v="1045"/>
    <x v="5"/>
    <s v="0x22"/>
    <s v="0x4807"/>
    <n v="6595"/>
    <x v="338"/>
    <s v="rpm"/>
  </r>
  <r>
    <x v="1046"/>
    <x v="6"/>
    <s v="0x22"/>
    <s v="0x5881"/>
    <n v="3"/>
    <x v="95"/>
    <s v="-"/>
  </r>
  <r>
    <x v="1047"/>
    <x v="7"/>
    <s v="0x22"/>
    <s v="0x460c"/>
    <n v="599"/>
    <x v="331"/>
    <s v="V"/>
  </r>
  <r>
    <x v="1048"/>
    <x v="8"/>
    <s v="0x22"/>
    <s v="0x586f"/>
    <n v="4679"/>
    <x v="339"/>
    <s v="hPa"/>
  </r>
  <r>
    <x v="1049"/>
    <x v="9"/>
    <s v="0x22"/>
    <s v="0x5816"/>
    <n v="3782"/>
    <x v="99"/>
    <s v="-"/>
  </r>
  <r>
    <x v="1050"/>
    <x v="10"/>
    <s v="0x22"/>
    <s v="0x5889"/>
    <n v="3838"/>
    <x v="34"/>
    <s v="-"/>
  </r>
  <r>
    <x v="1051"/>
    <x v="11"/>
    <s v="0x22"/>
    <s v="0x4ab1"/>
    <s v="N/A"/>
    <x v="3"/>
    <s v="N/A"/>
  </r>
  <r>
    <x v="1052"/>
    <x v="12"/>
    <s v="0x22"/>
    <s v="0x4811"/>
    <s v="N/A"/>
    <x v="3"/>
    <s v="N/A"/>
  </r>
  <r>
    <x v="1053"/>
    <x v="13"/>
    <s v="0x22"/>
    <s v="0x4812"/>
    <s v="N/A"/>
    <x v="3"/>
    <s v="N/A"/>
  </r>
  <r>
    <x v="1054"/>
    <x v="14"/>
    <s v="0x22"/>
    <s v="0x58ef"/>
    <n v="22136"/>
    <x v="340"/>
    <s v="MPa"/>
  </r>
  <r>
    <x v="1055"/>
    <x v="15"/>
    <s v="0x22"/>
    <s v="0x58b7"/>
    <n v="1"/>
    <x v="6"/>
    <s v="hPa"/>
  </r>
  <r>
    <x v="1056"/>
    <x v="16"/>
    <s v="0x22"/>
    <s v="0x5800"/>
    <n v="2882"/>
    <x v="341"/>
    <s v="s"/>
  </r>
  <r>
    <x v="1057"/>
    <x v="17"/>
    <s v="0x22"/>
    <s v="0x580b"/>
    <n v="48535"/>
    <x v="342"/>
    <s v="hPa"/>
  </r>
  <r>
    <x v="1058"/>
    <x v="18"/>
    <s v="0x22"/>
    <s v="0x580f"/>
    <n v="95"/>
    <x v="285"/>
    <s v="degC"/>
  </r>
  <r>
    <x v="1059"/>
    <x v="19"/>
    <s v="0x22"/>
    <s v="0x5818"/>
    <n v="21"/>
    <x v="286"/>
    <s v="kg/hr"/>
  </r>
  <r>
    <x v="1060"/>
    <x v="20"/>
    <s v="0x22"/>
    <s v="0x4521"/>
    <s v="N/A"/>
    <x v="3"/>
    <s v="N/A"/>
  </r>
  <r>
    <x v="1061"/>
    <x v="21"/>
    <s v="0x22"/>
    <s v="0x4abf"/>
    <s v="N/A"/>
    <x v="3"/>
    <s v="N/A"/>
  </r>
  <r>
    <x v="1062"/>
    <x v="22"/>
    <s v="0x22"/>
    <s v="0x4ac0"/>
    <s v="N/A"/>
    <x v="3"/>
    <s v="N/A"/>
  </r>
  <r>
    <x v="1063"/>
    <x v="23"/>
    <s v="0x22"/>
    <s v="0x4522"/>
    <s v="N/A"/>
    <x v="3"/>
    <s v="N/A"/>
  </r>
  <r>
    <x v="1064"/>
    <x v="24"/>
    <s v="0x22"/>
    <s v="0x4403"/>
    <n v="27754"/>
    <x v="343"/>
    <s v="L?"/>
  </r>
  <r>
    <x v="1065"/>
    <x v="25"/>
    <s v="0x22"/>
    <s v="0x4a6c"/>
    <s v="N/A"/>
    <x v="3"/>
    <s v="N/A"/>
  </r>
  <r>
    <x v="1066"/>
    <x v="0"/>
    <s v="0x22"/>
    <s v="0x5822"/>
    <n v="164"/>
    <x v="344"/>
    <s v="degC"/>
  </r>
  <r>
    <x v="1067"/>
    <x v="1"/>
    <s v="0x22"/>
    <s v="0x4300"/>
    <n v="202"/>
    <x v="121"/>
    <s v="degC"/>
  </r>
  <r>
    <x v="1068"/>
    <x v="2"/>
    <s v="0x22"/>
    <s v="0x5834"/>
    <n v="26124"/>
    <x v="323"/>
    <s v="hPa"/>
  </r>
  <r>
    <x v="1069"/>
    <x v="3"/>
    <s v="0x22"/>
    <s v="0x4411"/>
    <s v="N/A"/>
    <x v="3"/>
    <s v="N/A"/>
  </r>
  <r>
    <x v="1070"/>
    <x v="4"/>
    <s v="0x22"/>
    <s v="0x4205"/>
    <n v="13775"/>
    <x v="345"/>
    <s v="hPa"/>
  </r>
  <r>
    <x v="1071"/>
    <x v="5"/>
    <s v="0x22"/>
    <s v="0x4807"/>
    <n v="12251"/>
    <x v="346"/>
    <s v="rpm"/>
  </r>
  <r>
    <x v="1072"/>
    <x v="6"/>
    <s v="0x22"/>
    <s v="0x5881"/>
    <n v="4"/>
    <x v="84"/>
    <s v="-"/>
  </r>
  <r>
    <x v="1073"/>
    <x v="7"/>
    <s v="0x22"/>
    <s v="0x460c"/>
    <n v="600"/>
    <x v="141"/>
    <s v="V"/>
  </r>
  <r>
    <x v="1074"/>
    <x v="8"/>
    <s v="0x22"/>
    <s v="0x586f"/>
    <n v="3350"/>
    <x v="347"/>
    <s v="hPa"/>
  </r>
  <r>
    <x v="1075"/>
    <x v="9"/>
    <s v="0x22"/>
    <s v="0x5816"/>
    <n v="256"/>
    <x v="348"/>
    <s v="-"/>
  </r>
  <r>
    <x v="1076"/>
    <x v="10"/>
    <s v="0x22"/>
    <s v="0x5889"/>
    <n v="65299"/>
    <x v="205"/>
    <s v="-"/>
  </r>
  <r>
    <x v="1077"/>
    <x v="11"/>
    <s v="0x22"/>
    <s v="0x4ab1"/>
    <s v="N/A"/>
    <x v="3"/>
    <s v="N/A"/>
  </r>
  <r>
    <x v="1078"/>
    <x v="12"/>
    <s v="0x22"/>
    <s v="0x4811"/>
    <s v="N/A"/>
    <x v="3"/>
    <s v="N/A"/>
  </r>
  <r>
    <x v="1079"/>
    <x v="13"/>
    <s v="0x22"/>
    <s v="0x4812"/>
    <s v="N/A"/>
    <x v="3"/>
    <s v="N/A"/>
  </r>
  <r>
    <x v="1080"/>
    <x v="14"/>
    <s v="0x22"/>
    <s v="0x58ef"/>
    <n v="5291"/>
    <x v="349"/>
    <s v="MPa"/>
  </r>
  <r>
    <x v="1081"/>
    <x v="15"/>
    <s v="0x22"/>
    <s v="0x58b7"/>
    <n v="1"/>
    <x v="6"/>
    <s v="hPa"/>
  </r>
  <r>
    <x v="1082"/>
    <x v="16"/>
    <s v="0x22"/>
    <s v="0x5800"/>
    <n v="2952"/>
    <x v="350"/>
    <s v="s"/>
  </r>
  <r>
    <x v="1083"/>
    <x v="17"/>
    <s v="0x22"/>
    <s v="0x580b"/>
    <n v="25476"/>
    <x v="351"/>
    <s v="hPa"/>
  </r>
  <r>
    <x v="1084"/>
    <x v="18"/>
    <s v="0x22"/>
    <s v="0x580f"/>
    <n v="96"/>
    <x v="148"/>
    <s v="degC"/>
  </r>
  <r>
    <x v="1085"/>
    <x v="19"/>
    <s v="0x22"/>
    <s v="0x5818"/>
    <n v="5"/>
    <x v="182"/>
    <s v="kg/hr"/>
  </r>
  <r>
    <x v="1086"/>
    <x v="20"/>
    <s v="0x22"/>
    <s v="0x4521"/>
    <s v="N/A"/>
    <x v="3"/>
    <s v="N/A"/>
  </r>
  <r>
    <x v="1087"/>
    <x v="21"/>
    <s v="0x22"/>
    <s v="0x4abf"/>
    <s v="N/A"/>
    <x v="3"/>
    <s v="N/A"/>
  </r>
  <r>
    <x v="1088"/>
    <x v="22"/>
    <s v="0x22"/>
    <s v="0x4ac0"/>
    <s v="N/A"/>
    <x v="3"/>
    <s v="N/A"/>
  </r>
  <r>
    <x v="1089"/>
    <x v="23"/>
    <s v="0x22"/>
    <s v="0x4522"/>
    <s v="N/A"/>
    <x v="3"/>
    <s v="N/A"/>
  </r>
  <r>
    <x v="1090"/>
    <x v="24"/>
    <s v="0x22"/>
    <s v="0x4403"/>
    <n v="27756"/>
    <x v="343"/>
    <s v="L?"/>
  </r>
  <r>
    <x v="1091"/>
    <x v="25"/>
    <s v="0x22"/>
    <s v="0x4a6c"/>
    <s v="N/A"/>
    <x v="3"/>
    <s v="N/A"/>
  </r>
  <r>
    <x v="1092"/>
    <x v="0"/>
    <s v="0x22"/>
    <s v="0x5822"/>
    <n v="164"/>
    <x v="344"/>
    <s v="degC"/>
  </r>
  <r>
    <x v="1093"/>
    <x v="1"/>
    <s v="0x22"/>
    <s v="0x4300"/>
    <n v="191"/>
    <x v="50"/>
    <s v="degC"/>
  </r>
  <r>
    <x v="1094"/>
    <x v="2"/>
    <s v="0x22"/>
    <s v="0x5834"/>
    <n v="26092"/>
    <x v="269"/>
    <s v="hPa"/>
  </r>
  <r>
    <x v="1095"/>
    <x v="3"/>
    <s v="0x22"/>
    <s v="0x4411"/>
    <s v="N/A"/>
    <x v="3"/>
    <s v="N/A"/>
  </r>
  <r>
    <x v="1096"/>
    <x v="4"/>
    <s v="0x22"/>
    <s v="0x4205"/>
    <n v="13504"/>
    <x v="352"/>
    <s v="hPa"/>
  </r>
  <r>
    <x v="1097"/>
    <x v="5"/>
    <s v="0x22"/>
    <s v="0x4807"/>
    <n v="8973"/>
    <x v="353"/>
    <s v="rpm"/>
  </r>
  <r>
    <x v="1098"/>
    <x v="6"/>
    <s v="0x22"/>
    <s v="0x5881"/>
    <n v="4"/>
    <x v="84"/>
    <s v="-"/>
  </r>
  <r>
    <x v="1099"/>
    <x v="7"/>
    <s v="0x22"/>
    <s v="0x460c"/>
    <n v="604"/>
    <x v="252"/>
    <s v="V"/>
  </r>
  <r>
    <x v="1100"/>
    <x v="8"/>
    <s v="0x22"/>
    <s v="0x586f"/>
    <n v="2714"/>
    <x v="354"/>
    <s v="hPa"/>
  </r>
  <r>
    <x v="1101"/>
    <x v="9"/>
    <s v="0x22"/>
    <s v="0x5816"/>
    <n v="11547"/>
    <x v="355"/>
    <s v="-"/>
  </r>
  <r>
    <x v="1102"/>
    <x v="10"/>
    <s v="0x22"/>
    <s v="0x5889"/>
    <n v="4221"/>
    <x v="22"/>
    <s v="-"/>
  </r>
  <r>
    <x v="1103"/>
    <x v="11"/>
    <s v="0x22"/>
    <s v="0x4ab1"/>
    <s v="N/A"/>
    <x v="3"/>
    <s v="N/A"/>
  </r>
  <r>
    <x v="1104"/>
    <x v="12"/>
    <s v="0x22"/>
    <s v="0x4811"/>
    <s v="N/A"/>
    <x v="3"/>
    <s v="N/A"/>
  </r>
  <r>
    <x v="1105"/>
    <x v="13"/>
    <s v="0x22"/>
    <s v="0x4812"/>
    <s v="N/A"/>
    <x v="3"/>
    <s v="N/A"/>
  </r>
  <r>
    <x v="1106"/>
    <x v="14"/>
    <s v="0x22"/>
    <s v="0x58ef"/>
    <n v="11181"/>
    <x v="356"/>
    <s v="MPa"/>
  </r>
  <r>
    <x v="1107"/>
    <x v="15"/>
    <s v="0x22"/>
    <s v="0x58b7"/>
    <n v="6"/>
    <x v="357"/>
    <s v="hPa"/>
  </r>
  <r>
    <x v="1108"/>
    <x v="16"/>
    <s v="0x22"/>
    <s v="0x5800"/>
    <n v="3022"/>
    <x v="358"/>
    <s v="s"/>
  </r>
  <r>
    <x v="1109"/>
    <x v="17"/>
    <s v="0x22"/>
    <s v="0x580b"/>
    <n v="24874"/>
    <x v="359"/>
    <s v="hPa"/>
  </r>
  <r>
    <x v="1110"/>
    <x v="18"/>
    <s v="0x22"/>
    <s v="0x580f"/>
    <n v="96"/>
    <x v="148"/>
    <s v="degC"/>
  </r>
  <r>
    <x v="1111"/>
    <x v="19"/>
    <s v="0x22"/>
    <s v="0x5818"/>
    <n v="4"/>
    <x v="66"/>
    <s v="kg/hr"/>
  </r>
  <r>
    <x v="1112"/>
    <x v="20"/>
    <s v="0x22"/>
    <s v="0x4521"/>
    <s v="N/A"/>
    <x v="3"/>
    <s v="N/A"/>
  </r>
  <r>
    <x v="1113"/>
    <x v="21"/>
    <s v="0x22"/>
    <s v="0x4abf"/>
    <s v="N/A"/>
    <x v="3"/>
    <s v="N/A"/>
  </r>
  <r>
    <x v="1114"/>
    <x v="22"/>
    <s v="0x22"/>
    <s v="0x4ac0"/>
    <s v="N/A"/>
    <x v="3"/>
    <s v="N/A"/>
  </r>
  <r>
    <x v="1115"/>
    <x v="23"/>
    <s v="0x22"/>
    <s v="0x4522"/>
    <s v="N/A"/>
    <x v="3"/>
    <s v="N/A"/>
  </r>
  <r>
    <x v="1116"/>
    <x v="24"/>
    <s v="0x22"/>
    <s v="0x4403"/>
    <n v="27768"/>
    <x v="343"/>
    <s v="L?"/>
  </r>
  <r>
    <x v="1117"/>
    <x v="25"/>
    <s v="0x22"/>
    <s v="0x4a6c"/>
    <s v="N/A"/>
    <x v="3"/>
    <s v="N/A"/>
  </r>
  <r>
    <x v="1118"/>
    <x v="0"/>
    <s v="0x22"/>
    <s v="0x5822"/>
    <n v="163"/>
    <x v="194"/>
    <s v="degC"/>
  </r>
  <r>
    <x v="1119"/>
    <x v="1"/>
    <s v="0x22"/>
    <s v="0x4300"/>
    <n v="190"/>
    <x v="360"/>
    <s v="degC"/>
  </r>
  <r>
    <x v="1120"/>
    <x v="2"/>
    <s v="0x22"/>
    <s v="0x5834"/>
    <n v="26124"/>
    <x v="323"/>
    <s v="hPa"/>
  </r>
  <r>
    <x v="1121"/>
    <x v="3"/>
    <s v="0x22"/>
    <s v="0x4411"/>
    <s v="N/A"/>
    <x v="3"/>
    <s v="N/A"/>
  </r>
  <r>
    <x v="1122"/>
    <x v="4"/>
    <s v="0x22"/>
    <s v="0x4205"/>
    <n v="16704"/>
    <x v="361"/>
    <s v="hPa"/>
  </r>
  <r>
    <x v="1123"/>
    <x v="5"/>
    <s v="0x22"/>
    <s v="0x4807"/>
    <n v="11789"/>
    <x v="362"/>
    <s v="rpm"/>
  </r>
  <r>
    <x v="1124"/>
    <x v="6"/>
    <s v="0x22"/>
    <s v="0x5881"/>
    <n v="3"/>
    <x v="95"/>
    <s v="-"/>
  </r>
  <r>
    <x v="1125"/>
    <x v="7"/>
    <s v="0x22"/>
    <s v="0x460c"/>
    <n v="602"/>
    <x v="96"/>
    <s v="V"/>
  </r>
  <r>
    <x v="1126"/>
    <x v="8"/>
    <s v="0x22"/>
    <s v="0x586f"/>
    <n v="3809"/>
    <x v="363"/>
    <s v="hPa"/>
  </r>
  <r>
    <x v="1127"/>
    <x v="9"/>
    <s v="0x22"/>
    <s v="0x5816"/>
    <n v="3956"/>
    <x v="133"/>
    <s v="-"/>
  </r>
  <r>
    <x v="1128"/>
    <x v="10"/>
    <s v="0x22"/>
    <s v="0x5889"/>
    <n v="3812"/>
    <x v="35"/>
    <s v="-"/>
  </r>
  <r>
    <x v="1129"/>
    <x v="11"/>
    <s v="0x22"/>
    <s v="0x4ab1"/>
    <s v="N/A"/>
    <x v="3"/>
    <s v="N/A"/>
  </r>
  <r>
    <x v="1130"/>
    <x v="12"/>
    <s v="0x22"/>
    <s v="0x4811"/>
    <s v="N/A"/>
    <x v="3"/>
    <s v="N/A"/>
  </r>
  <r>
    <x v="1131"/>
    <x v="13"/>
    <s v="0x22"/>
    <s v="0x4812"/>
    <s v="N/A"/>
    <x v="3"/>
    <s v="N/A"/>
  </r>
  <r>
    <x v="1132"/>
    <x v="14"/>
    <s v="0x22"/>
    <s v="0x58ef"/>
    <n v="23280"/>
    <x v="364"/>
    <s v="MPa"/>
  </r>
  <r>
    <x v="1133"/>
    <x v="15"/>
    <s v="0x22"/>
    <s v="0x58b7"/>
    <n v="1"/>
    <x v="6"/>
    <s v="hPa"/>
  </r>
  <r>
    <x v="1134"/>
    <x v="16"/>
    <s v="0x22"/>
    <s v="0x5800"/>
    <n v="3093"/>
    <x v="365"/>
    <s v="s"/>
  </r>
  <r>
    <x v="1135"/>
    <x v="17"/>
    <s v="0x22"/>
    <s v="0x580b"/>
    <n v="25476"/>
    <x v="351"/>
    <s v="hPa"/>
  </r>
  <r>
    <x v="1136"/>
    <x v="18"/>
    <s v="0x22"/>
    <s v="0x580f"/>
    <n v="97"/>
    <x v="230"/>
    <s v="degC"/>
  </r>
  <r>
    <x v="1137"/>
    <x v="19"/>
    <s v="0x22"/>
    <s v="0x5818"/>
    <n v="7"/>
    <x v="294"/>
    <s v="kg/hr"/>
  </r>
  <r>
    <x v="1138"/>
    <x v="20"/>
    <s v="0x22"/>
    <s v="0x4521"/>
    <s v="N/A"/>
    <x v="3"/>
    <s v="N/A"/>
  </r>
  <r>
    <x v="1139"/>
    <x v="21"/>
    <s v="0x22"/>
    <s v="0x4abf"/>
    <s v="N/A"/>
    <x v="3"/>
    <s v="N/A"/>
  </r>
  <r>
    <x v="1140"/>
    <x v="22"/>
    <s v="0x22"/>
    <s v="0x4ac0"/>
    <s v="N/A"/>
    <x v="3"/>
    <s v="N/A"/>
  </r>
  <r>
    <x v="1141"/>
    <x v="23"/>
    <s v="0x22"/>
    <s v="0x4522"/>
    <s v="N/A"/>
    <x v="3"/>
    <s v="N/A"/>
  </r>
  <r>
    <x v="1142"/>
    <x v="24"/>
    <s v="0x22"/>
    <s v="0x4403"/>
    <n v="28044"/>
    <x v="366"/>
    <s v="L?"/>
  </r>
  <r>
    <x v="1143"/>
    <x v="25"/>
    <s v="0x22"/>
    <s v="0x4a6c"/>
    <s v="N/A"/>
    <x v="3"/>
    <s v="N/A"/>
  </r>
  <r>
    <x v="1144"/>
    <x v="0"/>
    <s v="0x22"/>
    <s v="0x5822"/>
    <n v="164"/>
    <x v="344"/>
    <s v="degC"/>
  </r>
  <r>
    <x v="1145"/>
    <x v="1"/>
    <s v="0x22"/>
    <s v="0x4300"/>
    <n v="194"/>
    <x v="367"/>
    <s v="degC"/>
  </r>
  <r>
    <x v="1146"/>
    <x v="2"/>
    <s v="0x22"/>
    <s v="0x5834"/>
    <n v="26124"/>
    <x v="323"/>
    <s v="hPa"/>
  </r>
  <r>
    <x v="1147"/>
    <x v="3"/>
    <s v="0x22"/>
    <s v="0x4411"/>
    <s v="N/A"/>
    <x v="3"/>
    <s v="N/A"/>
  </r>
  <r>
    <x v="1148"/>
    <x v="4"/>
    <s v="0x22"/>
    <s v="0x4205"/>
    <n v="13704"/>
    <x v="368"/>
    <s v="hPa"/>
  </r>
  <r>
    <x v="1149"/>
    <x v="5"/>
    <s v="0x22"/>
    <s v="0x4807"/>
    <n v="11087"/>
    <x v="369"/>
    <s v="rpm"/>
  </r>
  <r>
    <x v="1150"/>
    <x v="6"/>
    <s v="0x22"/>
    <s v="0x5881"/>
    <n v="4"/>
    <x v="84"/>
    <s v="-"/>
  </r>
  <r>
    <x v="1151"/>
    <x v="7"/>
    <s v="0x22"/>
    <s v="0x460c"/>
    <n v="603"/>
    <x v="52"/>
    <s v="V"/>
  </r>
  <r>
    <x v="1152"/>
    <x v="8"/>
    <s v="0x22"/>
    <s v="0x586f"/>
    <n v="3190"/>
    <x v="370"/>
    <s v="hPa"/>
  </r>
  <r>
    <x v="1153"/>
    <x v="9"/>
    <s v="0x22"/>
    <s v="0x5816"/>
    <n v="65536"/>
    <x v="66"/>
    <s v="-"/>
  </r>
  <r>
    <x v="1154"/>
    <x v="10"/>
    <s v="0x22"/>
    <s v="0x5889"/>
    <n v="65299"/>
    <x v="205"/>
    <s v="-"/>
  </r>
  <r>
    <x v="1155"/>
    <x v="11"/>
    <s v="0x22"/>
    <s v="0x4ab1"/>
    <s v="N/A"/>
    <x v="3"/>
    <s v="N/A"/>
  </r>
  <r>
    <x v="1156"/>
    <x v="12"/>
    <s v="0x22"/>
    <s v="0x4811"/>
    <s v="N/A"/>
    <x v="3"/>
    <s v="N/A"/>
  </r>
  <r>
    <x v="1157"/>
    <x v="13"/>
    <s v="0x22"/>
    <s v="0x4812"/>
    <s v="N/A"/>
    <x v="3"/>
    <s v="N/A"/>
  </r>
  <r>
    <x v="1158"/>
    <x v="14"/>
    <s v="0x22"/>
    <s v="0x58ef"/>
    <n v="10399"/>
    <x v="134"/>
    <s v="MPa"/>
  </r>
  <r>
    <x v="1159"/>
    <x v="15"/>
    <s v="0x22"/>
    <s v="0x58b7"/>
    <n v="1"/>
    <x v="6"/>
    <s v="hPa"/>
  </r>
  <r>
    <x v="1160"/>
    <x v="16"/>
    <s v="0x22"/>
    <s v="0x5800"/>
    <n v="3163"/>
    <x v="371"/>
    <s v="s"/>
  </r>
  <r>
    <x v="1161"/>
    <x v="17"/>
    <s v="0x22"/>
    <s v="0x580b"/>
    <n v="24935"/>
    <x v="372"/>
    <s v="hPa"/>
  </r>
  <r>
    <x v="1162"/>
    <x v="18"/>
    <s v="0x22"/>
    <s v="0x580f"/>
    <n v="97"/>
    <x v="230"/>
    <s v="degC"/>
  </r>
  <r>
    <x v="1163"/>
    <x v="19"/>
    <s v="0x22"/>
    <s v="0x5818"/>
    <n v="10"/>
    <x v="166"/>
    <s v="kg/hr"/>
  </r>
  <r>
    <x v="1164"/>
    <x v="20"/>
    <s v="0x22"/>
    <s v="0x4521"/>
    <s v="N/A"/>
    <x v="3"/>
    <s v="N/A"/>
  </r>
  <r>
    <x v="1165"/>
    <x v="21"/>
    <s v="0x22"/>
    <s v="0x4abf"/>
    <s v="N/A"/>
    <x v="3"/>
    <s v="N/A"/>
  </r>
  <r>
    <x v="1166"/>
    <x v="22"/>
    <s v="0x22"/>
    <s v="0x4ac0"/>
    <s v="N/A"/>
    <x v="3"/>
    <s v="N/A"/>
  </r>
  <r>
    <x v="1167"/>
    <x v="23"/>
    <s v="0x22"/>
    <s v="0x4522"/>
    <s v="N/A"/>
    <x v="3"/>
    <s v="N/A"/>
  </r>
  <r>
    <x v="1168"/>
    <x v="24"/>
    <s v="0x22"/>
    <s v="0x4403"/>
    <n v="28062"/>
    <x v="373"/>
    <s v="L?"/>
  </r>
  <r>
    <x v="1169"/>
    <x v="25"/>
    <s v="0x22"/>
    <s v="0x4a6c"/>
    <s v="N/A"/>
    <x v="3"/>
    <s v="N/A"/>
  </r>
  <r>
    <x v="1170"/>
    <x v="0"/>
    <s v="0x22"/>
    <s v="0x5822"/>
    <n v="164"/>
    <x v="344"/>
    <s v="degC"/>
  </r>
  <r>
    <x v="1171"/>
    <x v="1"/>
    <s v="0x22"/>
    <s v="0x4300"/>
    <n v="197"/>
    <x v="374"/>
    <s v="degC"/>
  </r>
  <r>
    <x v="1172"/>
    <x v="2"/>
    <s v="0x22"/>
    <s v="0x5834"/>
    <n v="26092"/>
    <x v="269"/>
    <s v="hPa"/>
  </r>
  <r>
    <x v="1173"/>
    <x v="3"/>
    <s v="0x22"/>
    <s v="0x4411"/>
    <s v="N/A"/>
    <x v="3"/>
    <s v="N/A"/>
  </r>
  <r>
    <x v="1174"/>
    <x v="4"/>
    <s v="0x22"/>
    <s v="0x4205"/>
    <n v="13308"/>
    <x v="375"/>
    <s v="hPa"/>
  </r>
  <r>
    <x v="1175"/>
    <x v="5"/>
    <s v="0x22"/>
    <s v="0x4807"/>
    <n v="10681"/>
    <x v="376"/>
    <s v="rpm"/>
  </r>
  <r>
    <x v="1176"/>
    <x v="6"/>
    <s v="0x22"/>
    <s v="0x5881"/>
    <n v="3"/>
    <x v="95"/>
    <s v="-"/>
  </r>
  <r>
    <x v="1177"/>
    <x v="7"/>
    <s v="0x22"/>
    <s v="0x460c"/>
    <n v="605"/>
    <x v="71"/>
    <s v="V"/>
  </r>
  <r>
    <x v="1178"/>
    <x v="8"/>
    <s v="0x22"/>
    <s v="0x586f"/>
    <n v="3610"/>
    <x v="377"/>
    <s v="hPa"/>
  </r>
  <r>
    <x v="1179"/>
    <x v="9"/>
    <s v="0x22"/>
    <s v="0x5816"/>
    <n v="3940"/>
    <x v="154"/>
    <s v="-"/>
  </r>
  <r>
    <x v="1180"/>
    <x v="10"/>
    <s v="0x22"/>
    <s v="0x5889"/>
    <n v="4987"/>
    <x v="378"/>
    <s v="-"/>
  </r>
  <r>
    <x v="1181"/>
    <x v="11"/>
    <s v="0x22"/>
    <s v="0x4ab1"/>
    <s v="N/A"/>
    <x v="3"/>
    <s v="N/A"/>
  </r>
  <r>
    <x v="1182"/>
    <x v="12"/>
    <s v="0x22"/>
    <s v="0x4811"/>
    <s v="N/A"/>
    <x v="3"/>
    <s v="N/A"/>
  </r>
  <r>
    <x v="1183"/>
    <x v="13"/>
    <s v="0x22"/>
    <s v="0x4812"/>
    <s v="N/A"/>
    <x v="3"/>
    <s v="N/A"/>
  </r>
  <r>
    <x v="1184"/>
    <x v="14"/>
    <s v="0x22"/>
    <s v="0x58ef"/>
    <n v="19740"/>
    <x v="379"/>
    <s v="MPa"/>
  </r>
  <r>
    <x v="1185"/>
    <x v="15"/>
    <s v="0x22"/>
    <s v="0x58b7"/>
    <n v="1"/>
    <x v="6"/>
    <s v="hPa"/>
  </r>
  <r>
    <x v="1186"/>
    <x v="16"/>
    <s v="0x22"/>
    <s v="0x5800"/>
    <n v="3232"/>
    <x v="380"/>
    <s v="s"/>
  </r>
  <r>
    <x v="1187"/>
    <x v="17"/>
    <s v="0x22"/>
    <s v="0x580b"/>
    <n v="44663"/>
    <x v="381"/>
    <s v="hPa"/>
  </r>
  <r>
    <x v="1188"/>
    <x v="18"/>
    <s v="0x22"/>
    <s v="0x580f"/>
    <n v="95"/>
    <x v="285"/>
    <s v="degC"/>
  </r>
  <r>
    <x v="1189"/>
    <x v="19"/>
    <s v="0x22"/>
    <s v="0x5818"/>
    <n v="93"/>
    <x v="382"/>
    <s v="kg/hr"/>
  </r>
  <r>
    <x v="1190"/>
    <x v="20"/>
    <s v="0x22"/>
    <s v="0x4521"/>
    <s v="N/A"/>
    <x v="3"/>
    <s v="N/A"/>
  </r>
  <r>
    <x v="1191"/>
    <x v="21"/>
    <s v="0x22"/>
    <s v="0x4abf"/>
    <s v="N/A"/>
    <x v="3"/>
    <s v="N/A"/>
  </r>
  <r>
    <x v="1192"/>
    <x v="22"/>
    <s v="0x22"/>
    <s v="0x4ac0"/>
    <s v="N/A"/>
    <x v="3"/>
    <s v="N/A"/>
  </r>
  <r>
    <x v="1193"/>
    <x v="23"/>
    <s v="0x22"/>
    <s v="0x4522"/>
    <s v="N/A"/>
    <x v="3"/>
    <s v="N/A"/>
  </r>
  <r>
    <x v="1194"/>
    <x v="24"/>
    <s v="0x22"/>
    <s v="0x4403"/>
    <n v="28231"/>
    <x v="383"/>
    <s v="L?"/>
  </r>
  <r>
    <x v="1195"/>
    <x v="25"/>
    <s v="0x22"/>
    <s v="0x4a6c"/>
    <s v="N/A"/>
    <x v="3"/>
    <s v="N/A"/>
  </r>
  <r>
    <x v="1196"/>
    <x v="0"/>
    <s v="0x22"/>
    <s v="0x5822"/>
    <n v="164"/>
    <x v="344"/>
    <s v="degC"/>
  </r>
  <r>
    <x v="1197"/>
    <x v="1"/>
    <s v="0x22"/>
    <s v="0x4300"/>
    <n v="198"/>
    <x v="92"/>
    <s v="degC"/>
  </r>
  <r>
    <x v="1198"/>
    <x v="2"/>
    <s v="0x22"/>
    <s v="0x5834"/>
    <n v="26092"/>
    <x v="269"/>
    <s v="hPa"/>
  </r>
  <r>
    <x v="1199"/>
    <x v="3"/>
    <s v="0x22"/>
    <s v="0x4411"/>
    <s v="N/A"/>
    <x v="3"/>
    <s v="N/A"/>
  </r>
  <r>
    <x v="1200"/>
    <x v="4"/>
    <s v="0x22"/>
    <s v="0x4205"/>
    <n v="13567"/>
    <x v="384"/>
    <s v="hPa"/>
  </r>
  <r>
    <x v="1201"/>
    <x v="5"/>
    <s v="0x22"/>
    <s v="0x4807"/>
    <n v="11553"/>
    <x v="385"/>
    <s v="rpm"/>
  </r>
  <r>
    <x v="1202"/>
    <x v="6"/>
    <s v="0x22"/>
    <s v="0x5881"/>
    <n v="4"/>
    <x v="84"/>
    <s v="-"/>
  </r>
  <r>
    <x v="1203"/>
    <x v="7"/>
    <s v="0x22"/>
    <s v="0x460c"/>
    <n v="605"/>
    <x v="71"/>
    <s v="V"/>
  </r>
  <r>
    <x v="1204"/>
    <x v="8"/>
    <s v="0x22"/>
    <s v="0x586f"/>
    <n v="4370"/>
    <x v="386"/>
    <s v="hPa"/>
  </r>
  <r>
    <x v="1205"/>
    <x v="9"/>
    <s v="0x22"/>
    <s v="0x5816"/>
    <n v="4611"/>
    <x v="272"/>
    <s v="-"/>
  </r>
  <r>
    <x v="1206"/>
    <x v="10"/>
    <s v="0x22"/>
    <s v="0x5889"/>
    <n v="4493"/>
    <x v="387"/>
    <s v="-"/>
  </r>
  <r>
    <x v="1207"/>
    <x v="11"/>
    <s v="0x22"/>
    <s v="0x4ab1"/>
    <s v="N/A"/>
    <x v="3"/>
    <s v="N/A"/>
  </r>
  <r>
    <x v="1208"/>
    <x v="12"/>
    <s v="0x22"/>
    <s v="0x4811"/>
    <s v="N/A"/>
    <x v="3"/>
    <s v="N/A"/>
  </r>
  <r>
    <x v="1209"/>
    <x v="13"/>
    <s v="0x22"/>
    <s v="0x4812"/>
    <s v="N/A"/>
    <x v="3"/>
    <s v="N/A"/>
  </r>
  <r>
    <x v="1210"/>
    <x v="14"/>
    <s v="0x22"/>
    <s v="0x58ef"/>
    <n v="12752"/>
    <x v="388"/>
    <s v="MPa"/>
  </r>
  <r>
    <x v="1211"/>
    <x v="15"/>
    <s v="0x22"/>
    <s v="0x58b7"/>
    <n v="1"/>
    <x v="6"/>
    <s v="hPa"/>
  </r>
  <r>
    <x v="1212"/>
    <x v="16"/>
    <s v="0x22"/>
    <s v="0x5800"/>
    <n v="3302"/>
    <x v="389"/>
    <s v="s"/>
  </r>
  <r>
    <x v="1213"/>
    <x v="17"/>
    <s v="0x22"/>
    <s v="0x580b"/>
    <n v="24785"/>
    <x v="390"/>
    <s v="hPa"/>
  </r>
  <r>
    <x v="1214"/>
    <x v="18"/>
    <s v="0x22"/>
    <s v="0x580f"/>
    <n v="97"/>
    <x v="230"/>
    <s v="degC"/>
  </r>
  <r>
    <x v="1215"/>
    <x v="19"/>
    <s v="0x22"/>
    <s v="0x5818"/>
    <n v="14"/>
    <x v="157"/>
    <s v="kg/hr"/>
  </r>
  <r>
    <x v="1216"/>
    <x v="20"/>
    <s v="0x22"/>
    <s v="0x4521"/>
    <s v="N/A"/>
    <x v="3"/>
    <s v="N/A"/>
  </r>
  <r>
    <x v="1217"/>
    <x v="21"/>
    <s v="0x22"/>
    <s v="0x4abf"/>
    <s v="N/A"/>
    <x v="3"/>
    <s v="N/A"/>
  </r>
  <r>
    <x v="1218"/>
    <x v="22"/>
    <s v="0x22"/>
    <s v="0x4ac0"/>
    <s v="N/A"/>
    <x v="3"/>
    <s v="N/A"/>
  </r>
  <r>
    <x v="1219"/>
    <x v="23"/>
    <s v="0x22"/>
    <s v="0x4522"/>
    <s v="N/A"/>
    <x v="3"/>
    <s v="N/A"/>
  </r>
  <r>
    <x v="1220"/>
    <x v="24"/>
    <s v="0x22"/>
    <s v="0x4403"/>
    <n v="28386"/>
    <x v="391"/>
    <s v="L?"/>
  </r>
  <r>
    <x v="1221"/>
    <x v="25"/>
    <s v="0x22"/>
    <s v="0x4a6c"/>
    <s v="N/A"/>
    <x v="3"/>
    <s v="N/A"/>
  </r>
  <r>
    <x v="1222"/>
    <x v="0"/>
    <s v="0x22"/>
    <s v="0x5822"/>
    <n v="164"/>
    <x v="344"/>
    <s v="degC"/>
  </r>
  <r>
    <x v="1223"/>
    <x v="1"/>
    <s v="0x22"/>
    <s v="0x4300"/>
    <n v="196"/>
    <x v="81"/>
    <s v="degC"/>
  </r>
  <r>
    <x v="1224"/>
    <x v="2"/>
    <s v="0x22"/>
    <s v="0x5834"/>
    <n v="26060"/>
    <x v="255"/>
    <s v="hPa"/>
  </r>
  <r>
    <x v="1225"/>
    <x v="3"/>
    <s v="0x22"/>
    <s v="0x4411"/>
    <s v="N/A"/>
    <x v="3"/>
    <s v="N/A"/>
  </r>
  <r>
    <x v="1226"/>
    <x v="4"/>
    <s v="0x22"/>
    <s v="0x4205"/>
    <n v="13488"/>
    <x v="392"/>
    <s v="hPa"/>
  </r>
  <r>
    <x v="1227"/>
    <x v="5"/>
    <s v="0x22"/>
    <s v="0x4807"/>
    <n v="9675"/>
    <x v="393"/>
    <s v="rpm"/>
  </r>
  <r>
    <x v="1228"/>
    <x v="6"/>
    <s v="0x22"/>
    <s v="0x5881"/>
    <n v="3"/>
    <x v="95"/>
    <s v="-"/>
  </r>
  <r>
    <x v="1229"/>
    <x v="7"/>
    <s v="0x22"/>
    <s v="0x460c"/>
    <n v="605"/>
    <x v="71"/>
    <s v="V"/>
  </r>
  <r>
    <x v="1230"/>
    <x v="8"/>
    <s v="0x22"/>
    <s v="0x586f"/>
    <n v="4115"/>
    <x v="394"/>
    <s v="hPa"/>
  </r>
  <r>
    <x v="1231"/>
    <x v="9"/>
    <s v="0x22"/>
    <s v="0x5816"/>
    <n v="3692"/>
    <x v="143"/>
    <s v="-"/>
  </r>
  <r>
    <x v="1232"/>
    <x v="10"/>
    <s v="0x22"/>
    <s v="0x5889"/>
    <n v="3824"/>
    <x v="35"/>
    <s v="-"/>
  </r>
  <r>
    <x v="1233"/>
    <x v="11"/>
    <s v="0x22"/>
    <s v="0x4ab1"/>
    <s v="N/A"/>
    <x v="3"/>
    <s v="N/A"/>
  </r>
  <r>
    <x v="1234"/>
    <x v="12"/>
    <s v="0x22"/>
    <s v="0x4811"/>
    <s v="N/A"/>
    <x v="3"/>
    <s v="N/A"/>
  </r>
  <r>
    <x v="1235"/>
    <x v="13"/>
    <s v="0x22"/>
    <s v="0x4812"/>
    <s v="N/A"/>
    <x v="3"/>
    <s v="N/A"/>
  </r>
  <r>
    <x v="1236"/>
    <x v="14"/>
    <s v="0x22"/>
    <s v="0x58ef"/>
    <n v="17452"/>
    <x v="395"/>
    <s v="MPa"/>
  </r>
  <r>
    <x v="1237"/>
    <x v="15"/>
    <s v="0x22"/>
    <s v="0x58b7"/>
    <n v="1"/>
    <x v="6"/>
    <s v="hPa"/>
  </r>
  <r>
    <x v="1238"/>
    <x v="16"/>
    <s v="0x22"/>
    <s v="0x5800"/>
    <n v="3372"/>
    <x v="396"/>
    <s v="s"/>
  </r>
  <r>
    <x v="1239"/>
    <x v="17"/>
    <s v="0x22"/>
    <s v="0x580b"/>
    <n v="24746"/>
    <x v="397"/>
    <s v="hPa"/>
  </r>
  <r>
    <x v="1240"/>
    <x v="18"/>
    <s v="0x22"/>
    <s v="0x580f"/>
    <n v="96"/>
    <x v="148"/>
    <s v="degC"/>
  </r>
  <r>
    <x v="1241"/>
    <x v="19"/>
    <s v="0x22"/>
    <s v="0x5818"/>
    <n v="24"/>
    <x v="16"/>
    <s v="kg/hr"/>
  </r>
  <r>
    <x v="1242"/>
    <x v="20"/>
    <s v="0x22"/>
    <s v="0x4521"/>
    <s v="N/A"/>
    <x v="3"/>
    <s v="N/A"/>
  </r>
  <r>
    <x v="1243"/>
    <x v="21"/>
    <s v="0x22"/>
    <s v="0x4abf"/>
    <s v="N/A"/>
    <x v="3"/>
    <s v="N/A"/>
  </r>
  <r>
    <x v="1244"/>
    <x v="22"/>
    <s v="0x22"/>
    <s v="0x4ac0"/>
    <s v="N/A"/>
    <x v="3"/>
    <s v="N/A"/>
  </r>
  <r>
    <x v="1245"/>
    <x v="23"/>
    <s v="0x22"/>
    <s v="0x4522"/>
    <s v="N/A"/>
    <x v="3"/>
    <s v="N/A"/>
  </r>
  <r>
    <x v="1246"/>
    <x v="24"/>
    <s v="0x22"/>
    <s v="0x4403"/>
    <n v="28479"/>
    <x v="398"/>
    <s v="L?"/>
  </r>
  <r>
    <x v="1247"/>
    <x v="25"/>
    <s v="0x22"/>
    <s v="0x4a6c"/>
    <s v="N/A"/>
    <x v="3"/>
    <s v="N/A"/>
  </r>
  <r>
    <x v="1248"/>
    <x v="0"/>
    <s v="0x22"/>
    <s v="0x5822"/>
    <n v="164"/>
    <x v="344"/>
    <s v="degC"/>
  </r>
  <r>
    <x v="1249"/>
    <x v="1"/>
    <s v="0x22"/>
    <s v="0x4300"/>
    <n v="193"/>
    <x v="57"/>
    <s v="degC"/>
  </r>
  <r>
    <x v="1250"/>
    <x v="2"/>
    <s v="0x22"/>
    <s v="0x5834"/>
    <n v="26029"/>
    <x v="231"/>
    <s v="hPa"/>
  </r>
  <r>
    <x v="1251"/>
    <x v="3"/>
    <s v="0x22"/>
    <s v="0x4411"/>
    <s v="N/A"/>
    <x v="3"/>
    <s v="N/A"/>
  </r>
  <r>
    <x v="1252"/>
    <x v="4"/>
    <s v="0x22"/>
    <s v="0x4205"/>
    <n v="13390"/>
    <x v="399"/>
    <s v="hPa"/>
  </r>
  <r>
    <x v="1253"/>
    <x v="5"/>
    <s v="0x22"/>
    <s v="0x4807"/>
    <n v="11033"/>
    <x v="400"/>
    <s v="rpm"/>
  </r>
  <r>
    <x v="1254"/>
    <x v="6"/>
    <s v="0x22"/>
    <s v="0x5881"/>
    <n v="3"/>
    <x v="95"/>
    <s v="-"/>
  </r>
  <r>
    <x v="1255"/>
    <x v="7"/>
    <s v="0x22"/>
    <s v="0x460c"/>
    <n v="606"/>
    <x v="401"/>
    <s v="V"/>
  </r>
  <r>
    <x v="1256"/>
    <x v="8"/>
    <s v="0x22"/>
    <s v="0x586f"/>
    <n v="2988"/>
    <x v="402"/>
    <s v="hPa"/>
  </r>
  <r>
    <x v="1257"/>
    <x v="9"/>
    <s v="0x22"/>
    <s v="0x5816"/>
    <n v="4056"/>
    <x v="9"/>
    <s v="-"/>
  </r>
  <r>
    <x v="1258"/>
    <x v="10"/>
    <s v="0x22"/>
    <s v="0x5889"/>
    <n v="3717"/>
    <x v="98"/>
    <s v="-"/>
  </r>
  <r>
    <x v="1259"/>
    <x v="11"/>
    <s v="0x22"/>
    <s v="0x4ab1"/>
    <s v="N/A"/>
    <x v="3"/>
    <s v="N/A"/>
  </r>
  <r>
    <x v="1260"/>
    <x v="12"/>
    <s v="0x22"/>
    <s v="0x4811"/>
    <s v="N/A"/>
    <x v="3"/>
    <s v="N/A"/>
  </r>
  <r>
    <x v="1261"/>
    <x v="13"/>
    <s v="0x22"/>
    <s v="0x4812"/>
    <s v="N/A"/>
    <x v="3"/>
    <s v="N/A"/>
  </r>
  <r>
    <x v="1262"/>
    <x v="14"/>
    <s v="0x22"/>
    <s v="0x58ef"/>
    <n v="22006"/>
    <x v="403"/>
    <s v="MPa"/>
  </r>
  <r>
    <x v="1263"/>
    <x v="15"/>
    <s v="0x22"/>
    <s v="0x58b7"/>
    <n v="1"/>
    <x v="6"/>
    <s v="hPa"/>
  </r>
  <r>
    <x v="1264"/>
    <x v="16"/>
    <s v="0x22"/>
    <s v="0x5800"/>
    <n v="3441"/>
    <x v="404"/>
    <s v="s"/>
  </r>
  <r>
    <x v="1265"/>
    <x v="17"/>
    <s v="0x22"/>
    <s v="0x580b"/>
    <n v="28196"/>
    <x v="405"/>
    <s v="hPa"/>
  </r>
  <r>
    <x v="1266"/>
    <x v="18"/>
    <s v="0x22"/>
    <s v="0x580f"/>
    <n v="95"/>
    <x v="285"/>
    <s v="degC"/>
  </r>
  <r>
    <x v="1267"/>
    <x v="19"/>
    <s v="0x22"/>
    <s v="0x5818"/>
    <n v="47"/>
    <x v="406"/>
    <s v="kg/hr"/>
  </r>
  <r>
    <x v="1268"/>
    <x v="20"/>
    <s v="0x22"/>
    <s v="0x4521"/>
    <s v="N/A"/>
    <x v="3"/>
    <s v="N/A"/>
  </r>
  <r>
    <x v="1269"/>
    <x v="21"/>
    <s v="0x22"/>
    <s v="0x4abf"/>
    <s v="N/A"/>
    <x v="3"/>
    <s v="N/A"/>
  </r>
  <r>
    <x v="1270"/>
    <x v="22"/>
    <s v="0x22"/>
    <s v="0x4ac0"/>
    <s v="N/A"/>
    <x v="3"/>
    <s v="N/A"/>
  </r>
  <r>
    <x v="1271"/>
    <x v="23"/>
    <s v="0x22"/>
    <s v="0x4522"/>
    <s v="N/A"/>
    <x v="3"/>
    <s v="N/A"/>
  </r>
  <r>
    <x v="1272"/>
    <x v="24"/>
    <s v="0x22"/>
    <s v="0x4403"/>
    <n v="28660"/>
    <x v="407"/>
    <s v="L?"/>
  </r>
  <r>
    <x v="1273"/>
    <x v="25"/>
    <s v="0x22"/>
    <s v="0x4a6c"/>
    <s v="N/A"/>
    <x v="3"/>
    <s v="N/A"/>
  </r>
  <r>
    <x v="1274"/>
    <x v="0"/>
    <s v="0x22"/>
    <s v="0x5822"/>
    <n v="165"/>
    <x v="138"/>
    <s v="degC"/>
  </r>
  <r>
    <x v="1275"/>
    <x v="1"/>
    <s v="0x22"/>
    <s v="0x4300"/>
    <n v="196"/>
    <x v="81"/>
    <s v="degC"/>
  </r>
  <r>
    <x v="1276"/>
    <x v="2"/>
    <s v="0x22"/>
    <s v="0x5834"/>
    <n v="25997"/>
    <x v="222"/>
    <s v="hPa"/>
  </r>
  <r>
    <x v="1277"/>
    <x v="3"/>
    <s v="0x22"/>
    <s v="0x4411"/>
    <s v="N/A"/>
    <x v="3"/>
    <s v="N/A"/>
  </r>
  <r>
    <x v="1278"/>
    <x v="4"/>
    <s v="0x22"/>
    <s v="0x4205"/>
    <n v="23249"/>
    <x v="408"/>
    <s v="hPa"/>
  </r>
  <r>
    <x v="1279"/>
    <x v="5"/>
    <s v="0x22"/>
    <s v="0x4807"/>
    <n v="15623"/>
    <x v="409"/>
    <s v="rpm"/>
  </r>
  <r>
    <x v="1280"/>
    <x v="6"/>
    <s v="0x22"/>
    <s v="0x5881"/>
    <n v="3"/>
    <x v="95"/>
    <s v="-"/>
  </r>
  <r>
    <x v="1281"/>
    <x v="7"/>
    <s v="0x22"/>
    <s v="0x460c"/>
    <n v="603"/>
    <x v="52"/>
    <s v="V"/>
  </r>
  <r>
    <x v="1282"/>
    <x v="8"/>
    <s v="0x22"/>
    <s v="0x586f"/>
    <n v="5034"/>
    <x v="410"/>
    <s v="hPa"/>
  </r>
  <r>
    <x v="1283"/>
    <x v="9"/>
    <s v="0x22"/>
    <s v="0x5816"/>
    <n v="3629"/>
    <x v="144"/>
    <s v="-"/>
  </r>
  <r>
    <x v="1284"/>
    <x v="10"/>
    <s v="0x22"/>
    <s v="0x5889"/>
    <n v="3609"/>
    <x v="87"/>
    <s v="-"/>
  </r>
  <r>
    <x v="1285"/>
    <x v="11"/>
    <s v="0x22"/>
    <s v="0x4ab1"/>
    <s v="N/A"/>
    <x v="3"/>
    <s v="N/A"/>
  </r>
  <r>
    <x v="1286"/>
    <x v="12"/>
    <s v="0x22"/>
    <s v="0x4811"/>
    <s v="N/A"/>
    <x v="3"/>
    <s v="N/A"/>
  </r>
  <r>
    <x v="1287"/>
    <x v="13"/>
    <s v="0x22"/>
    <s v="0x4812"/>
    <s v="N/A"/>
    <x v="3"/>
    <s v="N/A"/>
  </r>
  <r>
    <x v="1288"/>
    <x v="14"/>
    <s v="0x22"/>
    <s v="0x58ef"/>
    <n v="7708"/>
    <x v="411"/>
    <s v="MPa"/>
  </r>
  <r>
    <x v="1289"/>
    <x v="15"/>
    <s v="0x22"/>
    <s v="0x58b7"/>
    <n v="1"/>
    <x v="6"/>
    <s v="hPa"/>
  </r>
  <r>
    <x v="1290"/>
    <x v="16"/>
    <s v="0x22"/>
    <s v="0x5800"/>
    <n v="3511"/>
    <x v="412"/>
    <s v="s"/>
  </r>
  <r>
    <x v="1291"/>
    <x v="17"/>
    <s v="0x22"/>
    <s v="0x580b"/>
    <n v="24605"/>
    <x v="413"/>
    <s v="hPa"/>
  </r>
  <r>
    <x v="1292"/>
    <x v="18"/>
    <s v="0x22"/>
    <s v="0x580f"/>
    <n v="98"/>
    <x v="221"/>
    <s v="degC"/>
  </r>
  <r>
    <x v="1293"/>
    <x v="19"/>
    <s v="0x22"/>
    <s v="0x5818"/>
    <n v="8"/>
    <x v="414"/>
    <s v="kg/hr"/>
  </r>
  <r>
    <x v="1294"/>
    <x v="20"/>
    <s v="0x22"/>
    <s v="0x4521"/>
    <s v="N/A"/>
    <x v="3"/>
    <s v="N/A"/>
  </r>
  <r>
    <x v="1295"/>
    <x v="21"/>
    <s v="0x22"/>
    <s v="0x4abf"/>
    <s v="N/A"/>
    <x v="3"/>
    <s v="N/A"/>
  </r>
  <r>
    <x v="1296"/>
    <x v="22"/>
    <s v="0x22"/>
    <s v="0x4ac0"/>
    <s v="N/A"/>
    <x v="3"/>
    <s v="N/A"/>
  </r>
  <r>
    <x v="1297"/>
    <x v="23"/>
    <s v="0x22"/>
    <s v="0x4522"/>
    <s v="N/A"/>
    <x v="3"/>
    <s v="N/A"/>
  </r>
  <r>
    <x v="1298"/>
    <x v="24"/>
    <s v="0x22"/>
    <s v="0x4403"/>
    <n v="28956"/>
    <x v="415"/>
    <s v="L?"/>
  </r>
  <r>
    <x v="1299"/>
    <x v="25"/>
    <s v="0x22"/>
    <s v="0x4a6c"/>
    <s v="N/A"/>
    <x v="3"/>
    <s v="N/A"/>
  </r>
  <r>
    <x v="1300"/>
    <x v="0"/>
    <s v="0x22"/>
    <s v="0x5822"/>
    <n v="165"/>
    <x v="138"/>
    <s v="degC"/>
  </r>
  <r>
    <x v="1301"/>
    <x v="1"/>
    <s v="0x22"/>
    <s v="0x4300"/>
    <n v="199"/>
    <x v="416"/>
    <s v="degC"/>
  </r>
  <r>
    <x v="1302"/>
    <x v="2"/>
    <s v="0x22"/>
    <s v="0x5834"/>
    <n v="25965"/>
    <x v="215"/>
    <s v="hPa"/>
  </r>
  <r>
    <x v="1303"/>
    <x v="3"/>
    <s v="0x22"/>
    <s v="0x4411"/>
    <s v="N/A"/>
    <x v="3"/>
    <s v="N/A"/>
  </r>
  <r>
    <x v="1304"/>
    <x v="4"/>
    <s v="0x22"/>
    <s v="0x4205"/>
    <n v="13871"/>
    <x v="417"/>
    <s v="hPa"/>
  </r>
  <r>
    <x v="1305"/>
    <x v="5"/>
    <s v="0x22"/>
    <s v="0x4807"/>
    <n v="10333"/>
    <x v="418"/>
    <s v="rpm"/>
  </r>
  <r>
    <x v="1306"/>
    <x v="6"/>
    <s v="0x22"/>
    <s v="0x5881"/>
    <n v="4"/>
    <x v="84"/>
    <s v="-"/>
  </r>
  <r>
    <x v="1307"/>
    <x v="7"/>
    <s v="0x22"/>
    <s v="0x460c"/>
    <n v="604"/>
    <x v="252"/>
    <s v="V"/>
  </r>
  <r>
    <x v="1308"/>
    <x v="8"/>
    <s v="0x22"/>
    <s v="0x586f"/>
    <n v="3145"/>
    <x v="419"/>
    <s v="hPa"/>
  </r>
  <r>
    <x v="1309"/>
    <x v="9"/>
    <s v="0x22"/>
    <s v="0x5816"/>
    <n v="3790"/>
    <x v="35"/>
    <s v="-"/>
  </r>
  <r>
    <x v="1310"/>
    <x v="10"/>
    <s v="0x22"/>
    <s v="0x5889"/>
    <n v="3819"/>
    <x v="35"/>
    <s v="-"/>
  </r>
  <r>
    <x v="1311"/>
    <x v="11"/>
    <s v="0x22"/>
    <s v="0x4ab1"/>
    <s v="N/A"/>
    <x v="3"/>
    <s v="N/A"/>
  </r>
  <r>
    <x v="1312"/>
    <x v="12"/>
    <s v="0x22"/>
    <s v="0x4811"/>
    <s v="N/A"/>
    <x v="3"/>
    <s v="N/A"/>
  </r>
  <r>
    <x v="1313"/>
    <x v="13"/>
    <s v="0x22"/>
    <s v="0x4812"/>
    <s v="N/A"/>
    <x v="3"/>
    <s v="N/A"/>
  </r>
  <r>
    <x v="1314"/>
    <x v="14"/>
    <s v="0x22"/>
    <s v="0x58ef"/>
    <n v="17119"/>
    <x v="420"/>
    <s v="MPa"/>
  </r>
  <r>
    <x v="1315"/>
    <x v="15"/>
    <s v="0x22"/>
    <s v="0x58b7"/>
    <n v="1"/>
    <x v="6"/>
    <s v="hPa"/>
  </r>
  <r>
    <x v="1316"/>
    <x v="16"/>
    <s v="0x22"/>
    <s v="0x5800"/>
    <n v="3580"/>
    <x v="421"/>
    <s v="s"/>
  </r>
  <r>
    <x v="1317"/>
    <x v="17"/>
    <s v="0x22"/>
    <s v="0x580b"/>
    <n v="24516"/>
    <x v="119"/>
    <s v="hPa"/>
  </r>
  <r>
    <x v="1318"/>
    <x v="18"/>
    <s v="0x22"/>
    <s v="0x580f"/>
    <n v="98"/>
    <x v="221"/>
    <s v="degC"/>
  </r>
  <r>
    <x v="1319"/>
    <x v="19"/>
    <s v="0x22"/>
    <s v="0x5818"/>
    <n v="14"/>
    <x v="157"/>
    <s v="kg/hr"/>
  </r>
  <r>
    <x v="1320"/>
    <x v="20"/>
    <s v="0x22"/>
    <s v="0x4521"/>
    <s v="N/A"/>
    <x v="3"/>
    <s v="N/A"/>
  </r>
  <r>
    <x v="1321"/>
    <x v="21"/>
    <s v="0x22"/>
    <s v="0x4abf"/>
    <s v="N/A"/>
    <x v="3"/>
    <s v="N/A"/>
  </r>
  <r>
    <x v="1322"/>
    <x v="22"/>
    <s v="0x22"/>
    <s v="0x4ac0"/>
    <s v="N/A"/>
    <x v="3"/>
    <s v="N/A"/>
  </r>
  <r>
    <x v="1323"/>
    <x v="23"/>
    <s v="0x22"/>
    <s v="0x4522"/>
    <s v="N/A"/>
    <x v="3"/>
    <s v="N/A"/>
  </r>
  <r>
    <x v="1324"/>
    <x v="24"/>
    <s v="0x22"/>
    <s v="0x4403"/>
    <n v="29026"/>
    <x v="422"/>
    <s v="L?"/>
  </r>
  <r>
    <x v="1325"/>
    <x v="25"/>
    <s v="0x22"/>
    <s v="0x4a6c"/>
    <s v="N/A"/>
    <x v="3"/>
    <s v="N/A"/>
  </r>
  <r>
    <x v="1326"/>
    <x v="0"/>
    <s v="0x22"/>
    <s v="0x5822"/>
    <n v="165"/>
    <x v="138"/>
    <s v="degC"/>
  </r>
  <r>
    <x v="1327"/>
    <x v="1"/>
    <s v="0x22"/>
    <s v="0x4300"/>
    <n v="193"/>
    <x v="57"/>
    <s v="degC"/>
  </r>
  <r>
    <x v="1328"/>
    <x v="2"/>
    <s v="0x22"/>
    <s v="0x5834"/>
    <n v="25934"/>
    <x v="208"/>
    <s v="hPa"/>
  </r>
  <r>
    <x v="1329"/>
    <x v="3"/>
    <s v="0x22"/>
    <s v="0x4411"/>
    <s v="N/A"/>
    <x v="3"/>
    <s v="N/A"/>
  </r>
  <r>
    <x v="1330"/>
    <x v="4"/>
    <s v="0x22"/>
    <s v="0x4205"/>
    <n v="13248"/>
    <x v="423"/>
    <s v="hPa"/>
  </r>
  <r>
    <x v="1331"/>
    <x v="5"/>
    <s v="0x22"/>
    <s v="0x4807"/>
    <n v="7619"/>
    <x v="424"/>
    <s v="rpm"/>
  </r>
  <r>
    <x v="1332"/>
    <x v="6"/>
    <s v="0x22"/>
    <s v="0x5881"/>
    <n v="4"/>
    <x v="84"/>
    <s v="-"/>
  </r>
  <r>
    <x v="1333"/>
    <x v="7"/>
    <s v="0x22"/>
    <s v="0x460c"/>
    <n v="604"/>
    <x v="252"/>
    <s v="V"/>
  </r>
  <r>
    <x v="1334"/>
    <x v="8"/>
    <s v="0x22"/>
    <s v="0x586f"/>
    <n v="2992"/>
    <x v="425"/>
    <s v="hPa"/>
  </r>
  <r>
    <x v="1335"/>
    <x v="9"/>
    <s v="0x22"/>
    <s v="0x5816"/>
    <n v="4098"/>
    <x v="6"/>
    <s v="-"/>
  </r>
  <r>
    <x v="1336"/>
    <x v="10"/>
    <s v="0x22"/>
    <s v="0x5889"/>
    <n v="4180"/>
    <x v="290"/>
    <s v="-"/>
  </r>
  <r>
    <x v="1337"/>
    <x v="11"/>
    <s v="0x22"/>
    <s v="0x4ab1"/>
    <s v="N/A"/>
    <x v="3"/>
    <s v="N/A"/>
  </r>
  <r>
    <x v="1338"/>
    <x v="12"/>
    <s v="0x22"/>
    <s v="0x4811"/>
    <s v="N/A"/>
    <x v="3"/>
    <s v="N/A"/>
  </r>
  <r>
    <x v="1339"/>
    <x v="13"/>
    <s v="0x22"/>
    <s v="0x4812"/>
    <s v="N/A"/>
    <x v="3"/>
    <s v="N/A"/>
  </r>
  <r>
    <x v="1340"/>
    <x v="14"/>
    <s v="0x22"/>
    <s v="0x58ef"/>
    <n v="14056"/>
    <x v="426"/>
    <s v="MPa"/>
  </r>
  <r>
    <x v="1341"/>
    <x v="15"/>
    <s v="0x22"/>
    <s v="0x58b7"/>
    <n v="1"/>
    <x v="6"/>
    <s v="hPa"/>
  </r>
  <r>
    <x v="1342"/>
    <x v="16"/>
    <s v="0x22"/>
    <s v="0x5800"/>
    <n v="3650"/>
    <x v="427"/>
    <s v="s"/>
  </r>
  <r>
    <x v="1343"/>
    <x v="17"/>
    <s v="0x22"/>
    <s v="0x580b"/>
    <n v="24388"/>
    <x v="428"/>
    <s v="hPa"/>
  </r>
  <r>
    <x v="1344"/>
    <x v="18"/>
    <s v="0x22"/>
    <s v="0x580f"/>
    <n v="95"/>
    <x v="285"/>
    <s v="degC"/>
  </r>
  <r>
    <x v="1345"/>
    <x v="19"/>
    <s v="0x22"/>
    <s v="0x5818"/>
    <n v="10"/>
    <x v="166"/>
    <s v="kg/hr"/>
  </r>
  <r>
    <x v="1346"/>
    <x v="20"/>
    <s v="0x22"/>
    <s v="0x4521"/>
    <s v="N/A"/>
    <x v="3"/>
    <s v="N/A"/>
  </r>
  <r>
    <x v="1347"/>
    <x v="21"/>
    <s v="0x22"/>
    <s v="0x4abf"/>
    <s v="N/A"/>
    <x v="3"/>
    <s v="N/A"/>
  </r>
  <r>
    <x v="1348"/>
    <x v="22"/>
    <s v="0x22"/>
    <s v="0x4ac0"/>
    <s v="N/A"/>
    <x v="3"/>
    <s v="N/A"/>
  </r>
  <r>
    <x v="1349"/>
    <x v="23"/>
    <s v="0x22"/>
    <s v="0x4522"/>
    <s v="N/A"/>
    <x v="3"/>
    <s v="N/A"/>
  </r>
  <r>
    <x v="1350"/>
    <x v="24"/>
    <s v="0x22"/>
    <s v="0x4403"/>
    <n v="29092"/>
    <x v="429"/>
    <s v="L?"/>
  </r>
  <r>
    <x v="1351"/>
    <x v="25"/>
    <s v="0x22"/>
    <s v="0x4a6c"/>
    <s v="N/A"/>
    <x v="3"/>
    <s v="N/A"/>
  </r>
  <r>
    <x v="1352"/>
    <x v="0"/>
    <s v="0x22"/>
    <s v="0x5822"/>
    <n v="165"/>
    <x v="138"/>
    <s v="degC"/>
  </r>
  <r>
    <x v="1353"/>
    <x v="1"/>
    <s v="0x22"/>
    <s v="0x4300"/>
    <n v="193"/>
    <x v="57"/>
    <s v="degC"/>
  </r>
  <r>
    <x v="1354"/>
    <x v="2"/>
    <s v="0x22"/>
    <s v="0x5834"/>
    <n v="25902"/>
    <x v="2"/>
    <s v="hPa"/>
  </r>
  <r>
    <x v="1355"/>
    <x v="3"/>
    <s v="0x22"/>
    <s v="0x4411"/>
    <s v="N/A"/>
    <x v="3"/>
    <s v="N/A"/>
  </r>
  <r>
    <x v="1356"/>
    <x v="4"/>
    <s v="0x22"/>
    <s v="0x4205"/>
    <n v="13129"/>
    <x v="158"/>
    <s v="hPa"/>
  </r>
  <r>
    <x v="1357"/>
    <x v="5"/>
    <s v="0x22"/>
    <s v="0x4807"/>
    <n v="6461"/>
    <x v="430"/>
    <s v="rpm"/>
  </r>
  <r>
    <x v="1358"/>
    <x v="6"/>
    <s v="0x22"/>
    <s v="0x5881"/>
    <n v="4"/>
    <x v="84"/>
    <s v="-"/>
  </r>
  <r>
    <x v="1359"/>
    <x v="7"/>
    <s v="0x22"/>
    <s v="0x460c"/>
    <n v="603"/>
    <x v="52"/>
    <s v="V"/>
  </r>
  <r>
    <x v="1360"/>
    <x v="8"/>
    <s v="0x22"/>
    <s v="0x586f"/>
    <n v="3053"/>
    <x v="431"/>
    <s v="hPa"/>
  </r>
  <r>
    <x v="1361"/>
    <x v="9"/>
    <s v="0x22"/>
    <s v="0x5816"/>
    <n v="3876"/>
    <x v="108"/>
    <s v="-"/>
  </r>
  <r>
    <x v="1362"/>
    <x v="10"/>
    <s v="0x22"/>
    <s v="0x5889"/>
    <n v="4088"/>
    <x v="6"/>
    <s v="-"/>
  </r>
  <r>
    <x v="1363"/>
    <x v="11"/>
    <s v="0x22"/>
    <s v="0x4ab1"/>
    <s v="N/A"/>
    <x v="3"/>
    <s v="N/A"/>
  </r>
  <r>
    <x v="1364"/>
    <x v="12"/>
    <s v="0x22"/>
    <s v="0x4811"/>
    <s v="N/A"/>
    <x v="3"/>
    <s v="N/A"/>
  </r>
  <r>
    <x v="1365"/>
    <x v="13"/>
    <s v="0x22"/>
    <s v="0x4812"/>
    <s v="N/A"/>
    <x v="3"/>
    <s v="N/A"/>
  </r>
  <r>
    <x v="1366"/>
    <x v="14"/>
    <s v="0x22"/>
    <s v="0x58ef"/>
    <n v="10055"/>
    <x v="432"/>
    <s v="MPa"/>
  </r>
  <r>
    <x v="1367"/>
    <x v="15"/>
    <s v="0x22"/>
    <s v="0x58b7"/>
    <n v="1"/>
    <x v="6"/>
    <s v="hPa"/>
  </r>
  <r>
    <x v="1368"/>
    <x v="16"/>
    <s v="0x22"/>
    <s v="0x5800"/>
    <n v="3719"/>
    <x v="433"/>
    <s v="s"/>
  </r>
  <r>
    <x v="1369"/>
    <x v="17"/>
    <s v="0x22"/>
    <s v="0x580b"/>
    <n v="24423"/>
    <x v="434"/>
    <s v="hPa"/>
  </r>
  <r>
    <x v="1370"/>
    <x v="18"/>
    <s v="0x22"/>
    <s v="0x580f"/>
    <n v="94"/>
    <x v="37"/>
    <s v="degC"/>
  </r>
  <r>
    <x v="1371"/>
    <x v="19"/>
    <s v="0x22"/>
    <s v="0x5818"/>
    <n v="3"/>
    <x v="27"/>
    <s v="kg/hr"/>
  </r>
  <r>
    <x v="1372"/>
    <x v="20"/>
    <s v="0x22"/>
    <s v="0x4521"/>
    <s v="N/A"/>
    <x v="3"/>
    <s v="N/A"/>
  </r>
  <r>
    <x v="1373"/>
    <x v="21"/>
    <s v="0x22"/>
    <s v="0x4abf"/>
    <s v="N/A"/>
    <x v="3"/>
    <s v="N/A"/>
  </r>
  <r>
    <x v="1374"/>
    <x v="22"/>
    <s v="0x22"/>
    <s v="0x4ac0"/>
    <s v="N/A"/>
    <x v="3"/>
    <s v="N/A"/>
  </r>
  <r>
    <x v="1375"/>
    <x v="23"/>
    <s v="0x22"/>
    <s v="0x4522"/>
    <s v="N/A"/>
    <x v="3"/>
    <s v="N/A"/>
  </r>
  <r>
    <x v="1376"/>
    <x v="24"/>
    <s v="0x22"/>
    <s v="0x4403"/>
    <n v="29113"/>
    <x v="429"/>
    <s v="L?"/>
  </r>
  <r>
    <x v="1377"/>
    <x v="25"/>
    <s v="0x22"/>
    <s v="0x4a6c"/>
    <s v="N/A"/>
    <x v="3"/>
    <s v="N/A"/>
  </r>
  <r>
    <x v="1378"/>
    <x v="0"/>
    <s v="0x22"/>
    <s v="0x5822"/>
    <n v="165"/>
    <x v="138"/>
    <s v="degC"/>
  </r>
  <r>
    <x v="1379"/>
    <x v="1"/>
    <s v="0x22"/>
    <s v="0x4300"/>
    <n v="197"/>
    <x v="374"/>
    <s v="degC"/>
  </r>
  <r>
    <x v="1380"/>
    <x v="2"/>
    <s v="0x22"/>
    <s v="0x5834"/>
    <n v="25902"/>
    <x v="2"/>
    <s v="hPa"/>
  </r>
  <r>
    <x v="1381"/>
    <x v="3"/>
    <s v="0x22"/>
    <s v="0x4411"/>
    <s v="N/A"/>
    <x v="3"/>
    <s v="N/A"/>
  </r>
  <r>
    <x v="1382"/>
    <x v="4"/>
    <s v="0x22"/>
    <s v="0x4205"/>
    <n v="12949"/>
    <x v="435"/>
    <s v="hPa"/>
  </r>
  <r>
    <x v="1383"/>
    <x v="5"/>
    <s v="0x22"/>
    <s v="0x4807"/>
    <n v="4085"/>
    <x v="436"/>
    <s v="rpm"/>
  </r>
  <r>
    <x v="1384"/>
    <x v="6"/>
    <s v="0x22"/>
    <s v="0x5881"/>
    <n v="2"/>
    <x v="43"/>
    <s v="-"/>
  </r>
  <r>
    <x v="1385"/>
    <x v="7"/>
    <s v="0x22"/>
    <s v="0x460c"/>
    <n v="604"/>
    <x v="252"/>
    <s v="V"/>
  </r>
  <r>
    <x v="1386"/>
    <x v="8"/>
    <s v="0x22"/>
    <s v="0x586f"/>
    <n v="3021"/>
    <x v="437"/>
    <s v="hPa"/>
  </r>
  <r>
    <x v="1387"/>
    <x v="9"/>
    <s v="0x22"/>
    <s v="0x5816"/>
    <n v="3735"/>
    <x v="98"/>
    <s v="-"/>
  </r>
  <r>
    <x v="1388"/>
    <x v="10"/>
    <s v="0x22"/>
    <s v="0x5889"/>
    <n v="3929"/>
    <x v="154"/>
    <s v="-"/>
  </r>
  <r>
    <x v="1389"/>
    <x v="11"/>
    <s v="0x22"/>
    <s v="0x4ab1"/>
    <s v="N/A"/>
    <x v="3"/>
    <s v="N/A"/>
  </r>
  <r>
    <x v="1390"/>
    <x v="12"/>
    <s v="0x22"/>
    <s v="0x4811"/>
    <s v="N/A"/>
    <x v="3"/>
    <s v="N/A"/>
  </r>
  <r>
    <x v="1391"/>
    <x v="13"/>
    <s v="0x22"/>
    <s v="0x4812"/>
    <s v="N/A"/>
    <x v="3"/>
    <s v="N/A"/>
  </r>
  <r>
    <x v="1392"/>
    <x v="14"/>
    <s v="0x22"/>
    <s v="0x58ef"/>
    <n v="17691"/>
    <x v="438"/>
    <s v="MPa"/>
  </r>
  <r>
    <x v="1393"/>
    <x v="15"/>
    <s v="0x22"/>
    <s v="0x58b7"/>
    <n v="1"/>
    <x v="6"/>
    <s v="hPa"/>
  </r>
  <r>
    <x v="1394"/>
    <x v="16"/>
    <s v="0x22"/>
    <s v="0x5800"/>
    <n v="3788"/>
    <x v="439"/>
    <s v="s"/>
  </r>
  <r>
    <x v="1395"/>
    <x v="17"/>
    <s v="0x22"/>
    <s v="0x580b"/>
    <n v="24493"/>
    <x v="111"/>
    <s v="hPa"/>
  </r>
  <r>
    <x v="1396"/>
    <x v="18"/>
    <s v="0x22"/>
    <s v="0x580f"/>
    <n v="94"/>
    <x v="37"/>
    <s v="degC"/>
  </r>
  <r>
    <x v="1397"/>
    <x v="19"/>
    <s v="0x22"/>
    <s v="0x5818"/>
    <n v="4"/>
    <x v="66"/>
    <s v="kg/hr"/>
  </r>
  <r>
    <x v="1398"/>
    <x v="20"/>
    <s v="0x22"/>
    <s v="0x4521"/>
    <s v="N/A"/>
    <x v="3"/>
    <s v="N/A"/>
  </r>
  <r>
    <x v="1399"/>
    <x v="21"/>
    <s v="0x22"/>
    <s v="0x4abf"/>
    <s v="N/A"/>
    <x v="3"/>
    <s v="N/A"/>
  </r>
  <r>
    <x v="1400"/>
    <x v="22"/>
    <s v="0x22"/>
    <s v="0x4ac0"/>
    <s v="N/A"/>
    <x v="3"/>
    <s v="N/A"/>
  </r>
  <r>
    <x v="1401"/>
    <x v="23"/>
    <s v="0x22"/>
    <s v="0x4522"/>
    <s v="N/A"/>
    <x v="3"/>
    <s v="N/A"/>
  </r>
  <r>
    <x v="1402"/>
    <x v="24"/>
    <s v="0x22"/>
    <s v="0x4403"/>
    <n v="29154"/>
    <x v="440"/>
    <s v="L?"/>
  </r>
  <r>
    <x v="1403"/>
    <x v="25"/>
    <s v="0x22"/>
    <s v="0x4a6c"/>
    <s v="N/A"/>
    <x v="3"/>
    <s v="N/A"/>
  </r>
  <r>
    <x v="1404"/>
    <x v="0"/>
    <s v="0x22"/>
    <s v="0x5822"/>
    <n v="165"/>
    <x v="138"/>
    <s v="degC"/>
  </r>
  <r>
    <x v="1405"/>
    <x v="1"/>
    <s v="0x22"/>
    <s v="0x4300"/>
    <n v="200"/>
    <x v="0"/>
    <s v="degC"/>
  </r>
  <r>
    <x v="1406"/>
    <x v="2"/>
    <s v="0x22"/>
    <s v="0x5834"/>
    <n v="25902"/>
    <x v="2"/>
    <s v="hPa"/>
  </r>
  <r>
    <x v="1407"/>
    <x v="3"/>
    <s v="0x22"/>
    <s v="0x4411"/>
    <s v="N/A"/>
    <x v="3"/>
    <s v="N/A"/>
  </r>
  <r>
    <x v="1408"/>
    <x v="4"/>
    <s v="0x22"/>
    <s v="0x4205"/>
    <n v="13236"/>
    <x v="263"/>
    <s v="hPa"/>
  </r>
  <r>
    <x v="1409"/>
    <x v="5"/>
    <s v="0x22"/>
    <s v="0x4807"/>
    <n v="6495"/>
    <x v="441"/>
    <s v="rpm"/>
  </r>
  <r>
    <x v="1410"/>
    <x v="6"/>
    <s v="0x22"/>
    <s v="0x5881"/>
    <n v="4"/>
    <x v="84"/>
    <s v="-"/>
  </r>
  <r>
    <x v="1411"/>
    <x v="7"/>
    <s v="0x22"/>
    <s v="0x460c"/>
    <n v="606"/>
    <x v="401"/>
    <s v="V"/>
  </r>
  <r>
    <x v="1412"/>
    <x v="8"/>
    <s v="0x22"/>
    <s v="0x586f"/>
    <n v="3912"/>
    <x v="442"/>
    <s v="hPa"/>
  </r>
  <r>
    <x v="1413"/>
    <x v="9"/>
    <s v="0x22"/>
    <s v="0x5816"/>
    <n v="3750"/>
    <x v="99"/>
    <s v="-"/>
  </r>
  <r>
    <x v="1414"/>
    <x v="10"/>
    <s v="0x22"/>
    <s v="0x5889"/>
    <n v="3825"/>
    <x v="35"/>
    <s v="-"/>
  </r>
  <r>
    <x v="1415"/>
    <x v="11"/>
    <s v="0x22"/>
    <s v="0x4ab1"/>
    <s v="N/A"/>
    <x v="3"/>
    <s v="N/A"/>
  </r>
  <r>
    <x v="1416"/>
    <x v="12"/>
    <s v="0x22"/>
    <s v="0x4811"/>
    <s v="N/A"/>
    <x v="3"/>
    <s v="N/A"/>
  </r>
  <r>
    <x v="1417"/>
    <x v="13"/>
    <s v="0x22"/>
    <s v="0x4812"/>
    <s v="N/A"/>
    <x v="3"/>
    <s v="N/A"/>
  </r>
  <r>
    <x v="1418"/>
    <x v="14"/>
    <s v="0x22"/>
    <s v="0x58ef"/>
    <n v="12122"/>
    <x v="443"/>
    <s v="MPa"/>
  </r>
  <r>
    <x v="1419"/>
    <x v="15"/>
    <s v="0x22"/>
    <s v="0x58b7"/>
    <n v="1"/>
    <x v="6"/>
    <s v="hPa"/>
  </r>
  <r>
    <x v="1420"/>
    <x v="16"/>
    <s v="0x22"/>
    <s v="0x5800"/>
    <n v="3858"/>
    <x v="444"/>
    <s v="s"/>
  </r>
  <r>
    <x v="1421"/>
    <x v="17"/>
    <s v="0x22"/>
    <s v="0x580b"/>
    <n v="24948"/>
    <x v="445"/>
    <s v="hPa"/>
  </r>
  <r>
    <x v="1422"/>
    <x v="18"/>
    <s v="0x22"/>
    <s v="0x580f"/>
    <n v="93"/>
    <x v="446"/>
    <s v="degC"/>
  </r>
  <r>
    <x v="1423"/>
    <x v="19"/>
    <s v="0x22"/>
    <s v="0x5818"/>
    <n v="4"/>
    <x v="66"/>
    <s v="kg/hr"/>
  </r>
  <r>
    <x v="1424"/>
    <x v="20"/>
    <s v="0x22"/>
    <s v="0x4521"/>
    <s v="N/A"/>
    <x v="3"/>
    <s v="N/A"/>
  </r>
  <r>
    <x v="1425"/>
    <x v="21"/>
    <s v="0x22"/>
    <s v="0x4abf"/>
    <s v="N/A"/>
    <x v="3"/>
    <s v="N/A"/>
  </r>
  <r>
    <x v="1426"/>
    <x v="22"/>
    <s v="0x22"/>
    <s v="0x4ac0"/>
    <s v="N/A"/>
    <x v="3"/>
    <s v="N/A"/>
  </r>
  <r>
    <x v="1427"/>
    <x v="23"/>
    <s v="0x22"/>
    <s v="0x4522"/>
    <s v="N/A"/>
    <x v="3"/>
    <s v="N/A"/>
  </r>
  <r>
    <x v="1428"/>
    <x v="24"/>
    <s v="0x22"/>
    <s v="0x4403"/>
    <n v="29225"/>
    <x v="447"/>
    <s v="L?"/>
  </r>
  <r>
    <x v="1429"/>
    <x v="25"/>
    <s v="0x22"/>
    <s v="0x4a6c"/>
    <s v="N/A"/>
    <x v="3"/>
    <s v="N/A"/>
  </r>
  <r>
    <x v="1430"/>
    <x v="0"/>
    <s v="0x22"/>
    <s v="0x5822"/>
    <n v="165"/>
    <x v="138"/>
    <s v="degC"/>
  </r>
  <r>
    <x v="1431"/>
    <x v="1"/>
    <s v="0x22"/>
    <s v="0x4300"/>
    <n v="202"/>
    <x v="121"/>
    <s v="degC"/>
  </r>
  <r>
    <x v="1432"/>
    <x v="2"/>
    <s v="0x22"/>
    <s v="0x5834"/>
    <n v="25902"/>
    <x v="2"/>
    <s v="hPa"/>
  </r>
  <r>
    <x v="1433"/>
    <x v="3"/>
    <s v="0x22"/>
    <s v="0x4411"/>
    <s v="N/A"/>
    <x v="3"/>
    <s v="N/A"/>
  </r>
  <r>
    <x v="1434"/>
    <x v="4"/>
    <s v="0x22"/>
    <s v="0x4205"/>
    <n v="13093"/>
    <x v="93"/>
    <s v="hPa"/>
  </r>
  <r>
    <x v="1435"/>
    <x v="5"/>
    <s v="0x22"/>
    <s v="0x4807"/>
    <n v="5341"/>
    <x v="448"/>
    <s v="rpm"/>
  </r>
  <r>
    <x v="1436"/>
    <x v="6"/>
    <s v="0x22"/>
    <s v="0x5881"/>
    <n v="4"/>
    <x v="84"/>
    <s v="-"/>
  </r>
  <r>
    <x v="1437"/>
    <x v="7"/>
    <s v="0x22"/>
    <s v="0x460c"/>
    <n v="603"/>
    <x v="52"/>
    <s v="V"/>
  </r>
  <r>
    <x v="1438"/>
    <x v="8"/>
    <s v="0x22"/>
    <s v="0x586f"/>
    <n v="2694"/>
    <x v="449"/>
    <s v="hPa"/>
  </r>
  <r>
    <x v="1439"/>
    <x v="9"/>
    <s v="0x22"/>
    <s v="0x5816"/>
    <n v="53262"/>
    <x v="450"/>
    <s v="-"/>
  </r>
  <r>
    <x v="1440"/>
    <x v="10"/>
    <s v="0x22"/>
    <s v="0x5889"/>
    <n v="65299"/>
    <x v="205"/>
    <s v="-"/>
  </r>
  <r>
    <x v="1441"/>
    <x v="11"/>
    <s v="0x22"/>
    <s v="0x4ab1"/>
    <s v="N/A"/>
    <x v="3"/>
    <s v="N/A"/>
  </r>
  <r>
    <x v="1442"/>
    <x v="12"/>
    <s v="0x22"/>
    <s v="0x4811"/>
    <s v="N/A"/>
    <x v="3"/>
    <s v="N/A"/>
  </r>
  <r>
    <x v="1443"/>
    <x v="13"/>
    <s v="0x22"/>
    <s v="0x4812"/>
    <s v="N/A"/>
    <x v="3"/>
    <s v="N/A"/>
  </r>
  <r>
    <x v="1444"/>
    <x v="14"/>
    <s v="0x22"/>
    <s v="0x58ef"/>
    <n v="8818"/>
    <x v="451"/>
    <s v="MPa"/>
  </r>
  <r>
    <x v="1445"/>
    <x v="15"/>
    <s v="0x22"/>
    <s v="0x58b7"/>
    <n v="12"/>
    <x v="27"/>
    <s v="hPa"/>
  </r>
  <r>
    <x v="1446"/>
    <x v="16"/>
    <s v="0x22"/>
    <s v="0x5800"/>
    <n v="3928"/>
    <x v="452"/>
    <s v="s"/>
  </r>
  <r>
    <x v="1447"/>
    <x v="17"/>
    <s v="0x22"/>
    <s v="0x580b"/>
    <n v="24497"/>
    <x v="453"/>
    <s v="hPa"/>
  </r>
  <r>
    <x v="1448"/>
    <x v="18"/>
    <s v="0x22"/>
    <s v="0x580f"/>
    <n v="93"/>
    <x v="446"/>
    <s v="degC"/>
  </r>
  <r>
    <x v="1449"/>
    <x v="19"/>
    <s v="0x22"/>
    <s v="0x5818"/>
    <n v="3"/>
    <x v="27"/>
    <s v="kg/hr"/>
  </r>
  <r>
    <x v="1450"/>
    <x v="20"/>
    <s v="0x22"/>
    <s v="0x4521"/>
    <s v="N/A"/>
    <x v="3"/>
    <s v="N/A"/>
  </r>
  <r>
    <x v="1451"/>
    <x v="21"/>
    <s v="0x22"/>
    <s v="0x4abf"/>
    <s v="N/A"/>
    <x v="3"/>
    <s v="N/A"/>
  </r>
  <r>
    <x v="1452"/>
    <x v="22"/>
    <s v="0x22"/>
    <s v="0x4ac0"/>
    <s v="N/A"/>
    <x v="3"/>
    <s v="N/A"/>
  </r>
  <r>
    <x v="1453"/>
    <x v="23"/>
    <s v="0x22"/>
    <s v="0x4522"/>
    <s v="N/A"/>
    <x v="3"/>
    <s v="N/A"/>
  </r>
  <r>
    <x v="1454"/>
    <x v="24"/>
    <s v="0x22"/>
    <s v="0x4403"/>
    <n v="29237"/>
    <x v="447"/>
    <s v="L?"/>
  </r>
  <r>
    <x v="1455"/>
    <x v="25"/>
    <s v="0x22"/>
    <s v="0x4a6c"/>
    <s v="N/A"/>
    <x v="3"/>
    <s v="N/A"/>
  </r>
  <r>
    <x v="1456"/>
    <x v="0"/>
    <s v="0x22"/>
    <s v="0x5822"/>
    <n v="165"/>
    <x v="138"/>
    <s v="degC"/>
  </r>
  <r>
    <x v="1457"/>
    <x v="1"/>
    <s v="0x22"/>
    <s v="0x4300"/>
    <n v="203"/>
    <x v="129"/>
    <s v="degC"/>
  </r>
  <r>
    <x v="1458"/>
    <x v="2"/>
    <s v="0x22"/>
    <s v="0x5834"/>
    <n v="25902"/>
    <x v="2"/>
    <s v="hPa"/>
  </r>
  <r>
    <x v="1459"/>
    <x v="3"/>
    <s v="0x22"/>
    <s v="0x4411"/>
    <s v="N/A"/>
    <x v="3"/>
    <s v="N/A"/>
  </r>
  <r>
    <x v="1460"/>
    <x v="4"/>
    <s v="0x22"/>
    <s v="0x4205"/>
    <n v="13069"/>
    <x v="454"/>
    <s v="hPa"/>
  </r>
  <r>
    <x v="1461"/>
    <x v="5"/>
    <s v="0x22"/>
    <s v="0x4807"/>
    <n v="4663"/>
    <x v="455"/>
    <s v="rpm"/>
  </r>
  <r>
    <x v="1462"/>
    <x v="6"/>
    <s v="0x22"/>
    <s v="0x5881"/>
    <n v="2"/>
    <x v="43"/>
    <s v="-"/>
  </r>
  <r>
    <x v="1463"/>
    <x v="7"/>
    <s v="0x22"/>
    <s v="0x460c"/>
    <n v="599"/>
    <x v="331"/>
    <s v="V"/>
  </r>
  <r>
    <x v="1464"/>
    <x v="8"/>
    <s v="0x22"/>
    <s v="0x586f"/>
    <n v="3773"/>
    <x v="456"/>
    <s v="hPa"/>
  </r>
  <r>
    <x v="1465"/>
    <x v="9"/>
    <s v="0x22"/>
    <s v="0x5816"/>
    <n v="3730"/>
    <x v="98"/>
    <s v="-"/>
  </r>
  <r>
    <x v="1466"/>
    <x v="10"/>
    <s v="0x22"/>
    <s v="0x5889"/>
    <n v="4024"/>
    <x v="281"/>
    <s v="-"/>
  </r>
  <r>
    <x v="1467"/>
    <x v="11"/>
    <s v="0x22"/>
    <s v="0x4ab1"/>
    <s v="N/A"/>
    <x v="3"/>
    <s v="N/A"/>
  </r>
  <r>
    <x v="1468"/>
    <x v="12"/>
    <s v="0x22"/>
    <s v="0x4811"/>
    <s v="N/A"/>
    <x v="3"/>
    <s v="N/A"/>
  </r>
  <r>
    <x v="1469"/>
    <x v="13"/>
    <s v="0x22"/>
    <s v="0x4812"/>
    <s v="N/A"/>
    <x v="3"/>
    <s v="N/A"/>
  </r>
  <r>
    <x v="1470"/>
    <x v="14"/>
    <s v="0x22"/>
    <s v="0x58ef"/>
    <n v="6541"/>
    <x v="104"/>
    <s v="MPa"/>
  </r>
  <r>
    <x v="1471"/>
    <x v="15"/>
    <s v="0x22"/>
    <s v="0x58b7"/>
    <n v="1"/>
    <x v="6"/>
    <s v="hPa"/>
  </r>
  <r>
    <x v="1472"/>
    <x v="16"/>
    <s v="0x22"/>
    <s v="0x5800"/>
    <n v="3998"/>
    <x v="457"/>
    <s v="s"/>
  </r>
  <r>
    <x v="1473"/>
    <x v="17"/>
    <s v="0x22"/>
    <s v="0x580b"/>
    <n v="23751"/>
    <x v="458"/>
    <s v="hPa"/>
  </r>
  <r>
    <x v="1474"/>
    <x v="18"/>
    <s v="0x22"/>
    <s v="0x580f"/>
    <n v="93"/>
    <x v="446"/>
    <s v="degC"/>
  </r>
  <r>
    <x v="1475"/>
    <x v="19"/>
    <s v="0x22"/>
    <s v="0x5818"/>
    <n v="20"/>
    <x v="459"/>
    <s v="kg/hr"/>
  </r>
  <r>
    <x v="1476"/>
    <x v="20"/>
    <s v="0x22"/>
    <s v="0x4521"/>
    <s v="N/A"/>
    <x v="3"/>
    <s v="N/A"/>
  </r>
  <r>
    <x v="1477"/>
    <x v="21"/>
    <s v="0x22"/>
    <s v="0x4abf"/>
    <s v="N/A"/>
    <x v="3"/>
    <s v="N/A"/>
  </r>
  <r>
    <x v="1478"/>
    <x v="22"/>
    <s v="0x22"/>
    <s v="0x4ac0"/>
    <s v="N/A"/>
    <x v="3"/>
    <s v="N/A"/>
  </r>
  <r>
    <x v="1479"/>
    <x v="23"/>
    <s v="0x22"/>
    <s v="0x4522"/>
    <s v="N/A"/>
    <x v="3"/>
    <s v="N/A"/>
  </r>
  <r>
    <x v="1480"/>
    <x v="24"/>
    <s v="0x22"/>
    <s v="0x4403"/>
    <n v="29310"/>
    <x v="460"/>
    <s v="L?"/>
  </r>
  <r>
    <x v="1481"/>
    <x v="25"/>
    <s v="0x22"/>
    <s v="0x4a6c"/>
    <s v="N/A"/>
    <x v="3"/>
    <s v="N/A"/>
  </r>
  <r>
    <x v="1482"/>
    <x v="0"/>
    <s v="0x22"/>
    <s v="0x5822"/>
    <n v="165"/>
    <x v="138"/>
    <s v="degC"/>
  </r>
  <r>
    <x v="1483"/>
    <x v="1"/>
    <s v="0x22"/>
    <s v="0x4300"/>
    <n v="204"/>
    <x v="138"/>
    <s v="degC"/>
  </r>
  <r>
    <x v="1484"/>
    <x v="2"/>
    <s v="0x22"/>
    <s v="0x5834"/>
    <n v="25902"/>
    <x v="2"/>
    <s v="hPa"/>
  </r>
  <r>
    <x v="1485"/>
    <x v="3"/>
    <s v="0x22"/>
    <s v="0x4411"/>
    <s v="N/A"/>
    <x v="3"/>
    <s v="N/A"/>
  </r>
  <r>
    <x v="1486"/>
    <x v="4"/>
    <s v="0x22"/>
    <s v="0x4205"/>
    <n v="13405"/>
    <x v="461"/>
    <s v="hPa"/>
  </r>
  <r>
    <x v="1487"/>
    <x v="5"/>
    <s v="0x22"/>
    <s v="0x4807"/>
    <n v="7275"/>
    <x v="462"/>
    <s v="rpm"/>
  </r>
  <r>
    <x v="1488"/>
    <x v="6"/>
    <s v="0x22"/>
    <s v="0x5881"/>
    <n v="3"/>
    <x v="95"/>
    <s v="-"/>
  </r>
  <r>
    <x v="1489"/>
    <x v="7"/>
    <s v="0x22"/>
    <s v="0x460c"/>
    <n v="605"/>
    <x v="71"/>
    <s v="V"/>
  </r>
  <r>
    <x v="1490"/>
    <x v="8"/>
    <s v="0x22"/>
    <s v="0x586f"/>
    <n v="2918"/>
    <x v="204"/>
    <s v="hPa"/>
  </r>
  <r>
    <x v="1491"/>
    <x v="9"/>
    <s v="0x22"/>
    <s v="0x5816"/>
    <n v="61681"/>
    <x v="463"/>
    <s v="-"/>
  </r>
  <r>
    <x v="1492"/>
    <x v="10"/>
    <s v="0x22"/>
    <s v="0x5889"/>
    <n v="65299"/>
    <x v="205"/>
    <s v="-"/>
  </r>
  <r>
    <x v="1493"/>
    <x v="11"/>
    <s v="0x22"/>
    <s v="0x4ab1"/>
    <s v="N/A"/>
    <x v="3"/>
    <s v="N/A"/>
  </r>
  <r>
    <x v="1494"/>
    <x v="12"/>
    <s v="0x22"/>
    <s v="0x4811"/>
    <s v="N/A"/>
    <x v="3"/>
    <s v="N/A"/>
  </r>
  <r>
    <x v="1495"/>
    <x v="13"/>
    <s v="0x22"/>
    <s v="0x4812"/>
    <s v="N/A"/>
    <x v="3"/>
    <s v="N/A"/>
  </r>
  <r>
    <x v="1496"/>
    <x v="14"/>
    <s v="0x22"/>
    <s v="0x58ef"/>
    <n v="9955"/>
    <x v="464"/>
    <s v="MPa"/>
  </r>
  <r>
    <x v="1497"/>
    <x v="15"/>
    <s v="0x22"/>
    <s v="0x58b7"/>
    <n v="1"/>
    <x v="6"/>
    <s v="hPa"/>
  </r>
  <r>
    <x v="1498"/>
    <x v="16"/>
    <s v="0x22"/>
    <s v="0x5800"/>
    <n v="4068"/>
    <x v="465"/>
    <s v="s"/>
  </r>
  <r>
    <x v="1499"/>
    <x v="17"/>
    <s v="0x22"/>
    <s v="0x580b"/>
    <n v="24029"/>
    <x v="466"/>
    <s v="hPa"/>
  </r>
  <r>
    <x v="1500"/>
    <x v="18"/>
    <s v="0x22"/>
    <s v="0x580f"/>
    <n v="93"/>
    <x v="446"/>
    <s v="degC"/>
  </r>
  <r>
    <x v="1501"/>
    <x v="19"/>
    <s v="0x22"/>
    <s v="0x5818"/>
    <n v="3"/>
    <x v="27"/>
    <s v="kg/hr"/>
  </r>
  <r>
    <x v="1502"/>
    <x v="20"/>
    <s v="0x22"/>
    <s v="0x4521"/>
    <s v="N/A"/>
    <x v="3"/>
    <s v="N/A"/>
  </r>
  <r>
    <x v="1503"/>
    <x v="21"/>
    <s v="0x22"/>
    <s v="0x4abf"/>
    <s v="N/A"/>
    <x v="3"/>
    <s v="N/A"/>
  </r>
  <r>
    <x v="1504"/>
    <x v="22"/>
    <s v="0x22"/>
    <s v="0x4ac0"/>
    <s v="N/A"/>
    <x v="3"/>
    <s v="N/A"/>
  </r>
  <r>
    <x v="1505"/>
    <x v="23"/>
    <s v="0x22"/>
    <s v="0x4522"/>
    <s v="N/A"/>
    <x v="3"/>
    <s v="N/A"/>
  </r>
  <r>
    <x v="1506"/>
    <x v="24"/>
    <s v="0x22"/>
    <s v="0x4403"/>
    <n v="29327"/>
    <x v="460"/>
    <s v="L?"/>
  </r>
  <r>
    <x v="1507"/>
    <x v="25"/>
    <s v="0x22"/>
    <s v="0x4a6c"/>
    <s v="N/A"/>
    <x v="3"/>
    <s v="N/A"/>
  </r>
  <r>
    <x v="1508"/>
    <x v="0"/>
    <s v="0x22"/>
    <s v="0x5822"/>
    <n v="165"/>
    <x v="138"/>
    <s v="degC"/>
  </r>
  <r>
    <x v="1509"/>
    <x v="1"/>
    <s v="0x22"/>
    <s v="0x4300"/>
    <n v="203"/>
    <x v="129"/>
    <s v="degC"/>
  </r>
  <r>
    <x v="1510"/>
    <x v="2"/>
    <s v="0x22"/>
    <s v="0x5834"/>
    <n v="25902"/>
    <x v="2"/>
    <s v="hPa"/>
  </r>
  <r>
    <x v="1511"/>
    <x v="3"/>
    <s v="0x22"/>
    <s v="0x4411"/>
    <s v="N/A"/>
    <x v="3"/>
    <s v="N/A"/>
  </r>
  <r>
    <x v="1512"/>
    <x v="4"/>
    <s v="0x22"/>
    <s v="0x4205"/>
    <n v="13204"/>
    <x v="232"/>
    <s v="hPa"/>
  </r>
  <r>
    <x v="1513"/>
    <x v="5"/>
    <s v="0x22"/>
    <s v="0x4807"/>
    <n v="6191"/>
    <x v="467"/>
    <s v="rpm"/>
  </r>
  <r>
    <x v="1514"/>
    <x v="6"/>
    <s v="0x22"/>
    <s v="0x5881"/>
    <n v="3"/>
    <x v="95"/>
    <s v="-"/>
  </r>
  <r>
    <x v="1515"/>
    <x v="7"/>
    <s v="0x22"/>
    <s v="0x460c"/>
    <n v="604"/>
    <x v="252"/>
    <s v="V"/>
  </r>
  <r>
    <x v="1516"/>
    <x v="8"/>
    <s v="0x22"/>
    <s v="0x586f"/>
    <n v="3520"/>
    <x v="468"/>
    <s v="hPa"/>
  </r>
  <r>
    <x v="1517"/>
    <x v="9"/>
    <s v="0x22"/>
    <s v="0x5816"/>
    <n v="3693"/>
    <x v="143"/>
    <s v="-"/>
  </r>
  <r>
    <x v="1518"/>
    <x v="10"/>
    <s v="0x22"/>
    <s v="0x5889"/>
    <n v="3741"/>
    <x v="98"/>
    <s v="-"/>
  </r>
  <r>
    <x v="1519"/>
    <x v="11"/>
    <s v="0x22"/>
    <s v="0x4ab1"/>
    <s v="N/A"/>
    <x v="3"/>
    <s v="N/A"/>
  </r>
  <r>
    <x v="1520"/>
    <x v="12"/>
    <s v="0x22"/>
    <s v="0x4811"/>
    <s v="N/A"/>
    <x v="3"/>
    <s v="N/A"/>
  </r>
  <r>
    <x v="1521"/>
    <x v="13"/>
    <s v="0x22"/>
    <s v="0x4812"/>
    <s v="N/A"/>
    <x v="3"/>
    <s v="N/A"/>
  </r>
  <r>
    <x v="1522"/>
    <x v="14"/>
    <s v="0x22"/>
    <s v="0x58ef"/>
    <n v="12774"/>
    <x v="469"/>
    <s v="MPa"/>
  </r>
  <r>
    <x v="1523"/>
    <x v="15"/>
    <s v="0x22"/>
    <s v="0x58b7"/>
    <n v="1"/>
    <x v="6"/>
    <s v="hPa"/>
  </r>
  <r>
    <x v="1524"/>
    <x v="16"/>
    <s v="0x22"/>
    <s v="0x5800"/>
    <n v="4138"/>
    <x v="470"/>
    <s v="s"/>
  </r>
  <r>
    <x v="1525"/>
    <x v="17"/>
    <s v="0x22"/>
    <s v="0x580b"/>
    <n v="24804"/>
    <x v="471"/>
    <s v="hPa"/>
  </r>
  <r>
    <x v="1526"/>
    <x v="18"/>
    <s v="0x22"/>
    <s v="0x580f"/>
    <n v="92"/>
    <x v="472"/>
    <s v="degC"/>
  </r>
  <r>
    <x v="1527"/>
    <x v="19"/>
    <s v="0x22"/>
    <s v="0x5818"/>
    <n v="5"/>
    <x v="182"/>
    <s v="kg/hr"/>
  </r>
  <r>
    <x v="1528"/>
    <x v="20"/>
    <s v="0x22"/>
    <s v="0x4521"/>
    <s v="N/A"/>
    <x v="3"/>
    <s v="N/A"/>
  </r>
  <r>
    <x v="1529"/>
    <x v="21"/>
    <s v="0x22"/>
    <s v="0x4abf"/>
    <s v="N/A"/>
    <x v="3"/>
    <s v="N/A"/>
  </r>
  <r>
    <x v="1530"/>
    <x v="22"/>
    <s v="0x22"/>
    <s v="0x4ac0"/>
    <s v="N/A"/>
    <x v="3"/>
    <s v="N/A"/>
  </r>
  <r>
    <x v="1531"/>
    <x v="23"/>
    <s v="0x22"/>
    <s v="0x4522"/>
    <s v="N/A"/>
    <x v="3"/>
    <s v="N/A"/>
  </r>
  <r>
    <x v="1532"/>
    <x v="24"/>
    <s v="0x22"/>
    <s v="0x4403"/>
    <n v="29380"/>
    <x v="473"/>
    <s v="L?"/>
  </r>
  <r>
    <x v="1533"/>
    <x v="25"/>
    <s v="0x22"/>
    <s v="0x4a6c"/>
    <s v="N/A"/>
    <x v="3"/>
    <s v="N/A"/>
  </r>
  <r>
    <x v="1534"/>
    <x v="0"/>
    <s v="0x22"/>
    <s v="0x5822"/>
    <n v="165"/>
    <x v="138"/>
    <s v="degC"/>
  </r>
  <r>
    <x v="1535"/>
    <x v="1"/>
    <s v="0x22"/>
    <s v="0x4300"/>
    <n v="202"/>
    <x v="121"/>
    <s v="degC"/>
  </r>
  <r>
    <x v="1536"/>
    <x v="2"/>
    <s v="0x22"/>
    <s v="0x5834"/>
    <n v="25902"/>
    <x v="2"/>
    <s v="hPa"/>
  </r>
  <r>
    <x v="1537"/>
    <x v="3"/>
    <s v="0x22"/>
    <s v="0x4411"/>
    <s v="N/A"/>
    <x v="3"/>
    <s v="N/A"/>
  </r>
  <r>
    <x v="1538"/>
    <x v="4"/>
    <s v="0x22"/>
    <s v="0x4205"/>
    <n v="13023"/>
    <x v="474"/>
    <s v="hPa"/>
  </r>
  <r>
    <x v="1539"/>
    <x v="5"/>
    <s v="0x22"/>
    <s v="0x4807"/>
    <n v="3781"/>
    <x v="475"/>
    <s v="rpm"/>
  </r>
  <r>
    <x v="1540"/>
    <x v="6"/>
    <s v="0x22"/>
    <s v="0x5881"/>
    <n v="2"/>
    <x v="43"/>
    <s v="-"/>
  </r>
  <r>
    <x v="1541"/>
    <x v="7"/>
    <s v="0x22"/>
    <s v="0x460c"/>
    <n v="604"/>
    <x v="252"/>
    <s v="V"/>
  </r>
  <r>
    <x v="1542"/>
    <x v="8"/>
    <s v="0x22"/>
    <s v="0x586f"/>
    <n v="2795"/>
    <x v="476"/>
    <s v="hPa"/>
  </r>
  <r>
    <x v="1543"/>
    <x v="9"/>
    <s v="0x22"/>
    <s v="0x5816"/>
    <n v="3878"/>
    <x v="108"/>
    <s v="-"/>
  </r>
  <r>
    <x v="1544"/>
    <x v="10"/>
    <s v="0x22"/>
    <s v="0x5889"/>
    <n v="3877"/>
    <x v="108"/>
    <s v="-"/>
  </r>
  <r>
    <x v="1545"/>
    <x v="11"/>
    <s v="0x22"/>
    <s v="0x4ab1"/>
    <s v="N/A"/>
    <x v="3"/>
    <s v="N/A"/>
  </r>
  <r>
    <x v="1546"/>
    <x v="12"/>
    <s v="0x22"/>
    <s v="0x4811"/>
    <s v="N/A"/>
    <x v="3"/>
    <s v="N/A"/>
  </r>
  <r>
    <x v="1547"/>
    <x v="13"/>
    <s v="0x22"/>
    <s v="0x4812"/>
    <s v="N/A"/>
    <x v="3"/>
    <s v="N/A"/>
  </r>
  <r>
    <x v="1548"/>
    <x v="14"/>
    <s v="0x22"/>
    <s v="0x58ef"/>
    <n v="10466"/>
    <x v="117"/>
    <s v="MPa"/>
  </r>
  <r>
    <x v="1549"/>
    <x v="15"/>
    <s v="0x22"/>
    <s v="0x58b7"/>
    <n v="1"/>
    <x v="6"/>
    <s v="hPa"/>
  </r>
  <r>
    <x v="1550"/>
    <x v="16"/>
    <s v="0x22"/>
    <s v="0x5800"/>
    <n v="4208"/>
    <x v="477"/>
    <s v="s"/>
  </r>
  <r>
    <x v="1551"/>
    <x v="17"/>
    <s v="0x22"/>
    <s v="0x580b"/>
    <n v="24266"/>
    <x v="478"/>
    <s v="hPa"/>
  </r>
  <r>
    <x v="1552"/>
    <x v="18"/>
    <s v="0x22"/>
    <s v="0x580f"/>
    <n v="92"/>
    <x v="472"/>
    <s v="degC"/>
  </r>
  <r>
    <x v="1553"/>
    <x v="19"/>
    <s v="0x22"/>
    <s v="0x5818"/>
    <n v="9"/>
    <x v="79"/>
    <s v="kg/hr"/>
  </r>
  <r>
    <x v="1554"/>
    <x v="20"/>
    <s v="0x22"/>
    <s v="0x4521"/>
    <s v="N/A"/>
    <x v="3"/>
    <s v="N/A"/>
  </r>
  <r>
    <x v="1555"/>
    <x v="21"/>
    <s v="0x22"/>
    <s v="0x4abf"/>
    <s v="N/A"/>
    <x v="3"/>
    <s v="N/A"/>
  </r>
  <r>
    <x v="1556"/>
    <x v="22"/>
    <s v="0x22"/>
    <s v="0x4ac0"/>
    <s v="N/A"/>
    <x v="3"/>
    <s v="N/A"/>
  </r>
  <r>
    <x v="1557"/>
    <x v="23"/>
    <s v="0x22"/>
    <s v="0x4522"/>
    <s v="N/A"/>
    <x v="3"/>
    <s v="N/A"/>
  </r>
  <r>
    <x v="1558"/>
    <x v="24"/>
    <s v="0x22"/>
    <s v="0x4403"/>
    <n v="29412"/>
    <x v="473"/>
    <s v="L?"/>
  </r>
  <r>
    <x v="1559"/>
    <x v="25"/>
    <s v="0x22"/>
    <s v="0x4a6c"/>
    <s v="N/A"/>
    <x v="3"/>
    <s v="N/A"/>
  </r>
  <r>
    <x v="1560"/>
    <x v="0"/>
    <s v="0x22"/>
    <s v="0x5822"/>
    <n v="165"/>
    <x v="138"/>
    <s v="degC"/>
  </r>
  <r>
    <x v="1561"/>
    <x v="1"/>
    <s v="0x22"/>
    <s v="0x4300"/>
    <n v="201"/>
    <x v="1"/>
    <s v="degC"/>
  </r>
  <r>
    <x v="1562"/>
    <x v="2"/>
    <s v="0x22"/>
    <s v="0x5834"/>
    <n v="25902"/>
    <x v="2"/>
    <s v="hPa"/>
  </r>
  <r>
    <x v="1563"/>
    <x v="3"/>
    <s v="0x22"/>
    <s v="0x4411"/>
    <s v="N/A"/>
    <x v="3"/>
    <s v="N/A"/>
  </r>
  <r>
    <x v="1564"/>
    <x v="4"/>
    <s v="0x22"/>
    <s v="0x4205"/>
    <n v="13165"/>
    <x v="195"/>
    <s v="hPa"/>
  </r>
  <r>
    <x v="1565"/>
    <x v="5"/>
    <s v="0x22"/>
    <s v="0x4807"/>
    <n v="7779"/>
    <x v="479"/>
    <s v="rpm"/>
  </r>
  <r>
    <x v="1566"/>
    <x v="6"/>
    <s v="0x22"/>
    <s v="0x5881"/>
    <n v="3"/>
    <x v="95"/>
    <s v="-"/>
  </r>
  <r>
    <x v="1567"/>
    <x v="7"/>
    <s v="0x22"/>
    <s v="0x460c"/>
    <n v="604"/>
    <x v="252"/>
    <s v="V"/>
  </r>
  <r>
    <x v="1568"/>
    <x v="8"/>
    <s v="0x22"/>
    <s v="0x586f"/>
    <n v="3123"/>
    <x v="480"/>
    <s v="hPa"/>
  </r>
  <r>
    <x v="1569"/>
    <x v="9"/>
    <s v="0x22"/>
    <s v="0x5816"/>
    <n v="3988"/>
    <x v="133"/>
    <s v="-"/>
  </r>
  <r>
    <x v="1570"/>
    <x v="10"/>
    <s v="0x22"/>
    <s v="0x5889"/>
    <n v="3790"/>
    <x v="35"/>
    <s v="-"/>
  </r>
  <r>
    <x v="1571"/>
    <x v="11"/>
    <s v="0x22"/>
    <s v="0x4ab1"/>
    <s v="N/A"/>
    <x v="3"/>
    <s v="N/A"/>
  </r>
  <r>
    <x v="1572"/>
    <x v="12"/>
    <s v="0x22"/>
    <s v="0x4811"/>
    <s v="N/A"/>
    <x v="3"/>
    <s v="N/A"/>
  </r>
  <r>
    <x v="1573"/>
    <x v="13"/>
    <s v="0x22"/>
    <s v="0x4812"/>
    <s v="N/A"/>
    <x v="3"/>
    <s v="N/A"/>
  </r>
  <r>
    <x v="1574"/>
    <x v="14"/>
    <s v="0x22"/>
    <s v="0x58ef"/>
    <n v="10871"/>
    <x v="481"/>
    <s v="MPa"/>
  </r>
  <r>
    <x v="1575"/>
    <x v="15"/>
    <s v="0x22"/>
    <s v="0x58b7"/>
    <n v="1"/>
    <x v="6"/>
    <s v="hPa"/>
  </r>
  <r>
    <x v="1576"/>
    <x v="16"/>
    <s v="0x22"/>
    <s v="0x5800"/>
    <n v="4278"/>
    <x v="482"/>
    <s v="s"/>
  </r>
  <r>
    <x v="1577"/>
    <x v="17"/>
    <s v="0x22"/>
    <s v="0x580b"/>
    <n v="24490"/>
    <x v="48"/>
    <s v="hPa"/>
  </r>
  <r>
    <x v="1578"/>
    <x v="18"/>
    <s v="0x22"/>
    <s v="0x580f"/>
    <n v="92"/>
    <x v="472"/>
    <s v="degC"/>
  </r>
  <r>
    <x v="1579"/>
    <x v="19"/>
    <s v="0x22"/>
    <s v="0x5818"/>
    <n v="4"/>
    <x v="66"/>
    <s v="kg/hr"/>
  </r>
  <r>
    <x v="1580"/>
    <x v="20"/>
    <s v="0x22"/>
    <s v="0x4521"/>
    <s v="N/A"/>
    <x v="3"/>
    <s v="N/A"/>
  </r>
  <r>
    <x v="1581"/>
    <x v="21"/>
    <s v="0x22"/>
    <s v="0x4abf"/>
    <s v="N/A"/>
    <x v="3"/>
    <s v="N/A"/>
  </r>
  <r>
    <x v="1582"/>
    <x v="22"/>
    <s v="0x22"/>
    <s v="0x4ac0"/>
    <s v="N/A"/>
    <x v="3"/>
    <s v="N/A"/>
  </r>
  <r>
    <x v="1583"/>
    <x v="23"/>
    <s v="0x22"/>
    <s v="0x4522"/>
    <s v="N/A"/>
    <x v="3"/>
    <s v="N/A"/>
  </r>
  <r>
    <x v="1584"/>
    <x v="24"/>
    <s v="0x22"/>
    <s v="0x4403"/>
    <n v="29446"/>
    <x v="473"/>
    <s v="L?"/>
  </r>
  <r>
    <x v="1585"/>
    <x v="25"/>
    <s v="0x22"/>
    <s v="0x4a6c"/>
    <s v="N/A"/>
    <x v="3"/>
    <s v="N/A"/>
  </r>
  <r>
    <x v="1586"/>
    <x v="0"/>
    <s v="0x22"/>
    <s v="0x5822"/>
    <n v="165"/>
    <x v="138"/>
    <s v="degC"/>
  </r>
  <r>
    <x v="1587"/>
    <x v="1"/>
    <s v="0x22"/>
    <s v="0x4300"/>
    <n v="201"/>
    <x v="1"/>
    <s v="degC"/>
  </r>
  <r>
    <x v="1588"/>
    <x v="2"/>
    <s v="0x22"/>
    <s v="0x5834"/>
    <n v="25902"/>
    <x v="2"/>
    <s v="hPa"/>
  </r>
  <r>
    <x v="1589"/>
    <x v="3"/>
    <s v="0x22"/>
    <s v="0x4411"/>
    <s v="N/A"/>
    <x v="3"/>
    <s v="N/A"/>
  </r>
  <r>
    <x v="1590"/>
    <x v="4"/>
    <s v="0x22"/>
    <s v="0x4205"/>
    <n v="13030"/>
    <x v="255"/>
    <s v="hPa"/>
  </r>
  <r>
    <x v="1591"/>
    <x v="5"/>
    <s v="0x22"/>
    <s v="0x4807"/>
    <n v="4307"/>
    <x v="483"/>
    <s v="rpm"/>
  </r>
  <r>
    <x v="1592"/>
    <x v="6"/>
    <s v="0x22"/>
    <s v="0x5881"/>
    <n v="2"/>
    <x v="43"/>
    <s v="-"/>
  </r>
  <r>
    <x v="1593"/>
    <x v="7"/>
    <s v="0x22"/>
    <s v="0x460c"/>
    <n v="604"/>
    <x v="252"/>
    <s v="V"/>
  </r>
  <r>
    <x v="1594"/>
    <x v="8"/>
    <s v="0x22"/>
    <s v="0x586f"/>
    <n v="2745"/>
    <x v="53"/>
    <s v="hPa"/>
  </r>
  <r>
    <x v="1595"/>
    <x v="9"/>
    <s v="0x22"/>
    <s v="0x5816"/>
    <n v="4109"/>
    <x v="6"/>
    <s v="-"/>
  </r>
  <r>
    <x v="1596"/>
    <x v="10"/>
    <s v="0x22"/>
    <s v="0x5889"/>
    <n v="4193"/>
    <x v="290"/>
    <s v="-"/>
  </r>
  <r>
    <x v="1597"/>
    <x v="11"/>
    <s v="0x22"/>
    <s v="0x4ab1"/>
    <s v="N/A"/>
    <x v="3"/>
    <s v="N/A"/>
  </r>
  <r>
    <x v="1598"/>
    <x v="12"/>
    <s v="0x22"/>
    <s v="0x4811"/>
    <s v="N/A"/>
    <x v="3"/>
    <s v="N/A"/>
  </r>
  <r>
    <x v="1599"/>
    <x v="13"/>
    <s v="0x22"/>
    <s v="0x4812"/>
    <s v="N/A"/>
    <x v="3"/>
    <s v="N/A"/>
  </r>
  <r>
    <x v="1600"/>
    <x v="14"/>
    <s v="0x22"/>
    <s v="0x58ef"/>
    <n v="12480"/>
    <x v="484"/>
    <s v="MPa"/>
  </r>
  <r>
    <x v="1601"/>
    <x v="15"/>
    <s v="0x22"/>
    <s v="0x58b7"/>
    <n v="1"/>
    <x v="6"/>
    <s v="hPa"/>
  </r>
  <r>
    <x v="1602"/>
    <x v="16"/>
    <s v="0x22"/>
    <s v="0x5800"/>
    <n v="4349"/>
    <x v="485"/>
    <s v="s"/>
  </r>
  <r>
    <x v="1603"/>
    <x v="17"/>
    <s v="0x22"/>
    <s v="0x580b"/>
    <n v="24407"/>
    <x v="486"/>
    <s v="hPa"/>
  </r>
  <r>
    <x v="1604"/>
    <x v="18"/>
    <s v="0x22"/>
    <s v="0x580f"/>
    <n v="92"/>
    <x v="472"/>
    <s v="degC"/>
  </r>
  <r>
    <x v="1605"/>
    <x v="19"/>
    <s v="0x22"/>
    <s v="0x5818"/>
    <n v="3"/>
    <x v="27"/>
    <s v="kg/hr"/>
  </r>
  <r>
    <x v="1606"/>
    <x v="20"/>
    <s v="0x22"/>
    <s v="0x4521"/>
    <s v="N/A"/>
    <x v="3"/>
    <s v="N/A"/>
  </r>
  <r>
    <x v="1607"/>
    <x v="21"/>
    <s v="0x22"/>
    <s v="0x4abf"/>
    <s v="N/A"/>
    <x v="3"/>
    <s v="N/A"/>
  </r>
  <r>
    <x v="1608"/>
    <x v="22"/>
    <s v="0x22"/>
    <s v="0x4ac0"/>
    <s v="N/A"/>
    <x v="3"/>
    <s v="N/A"/>
  </r>
  <r>
    <x v="1609"/>
    <x v="23"/>
    <s v="0x22"/>
    <s v="0x4522"/>
    <s v="N/A"/>
    <x v="3"/>
    <s v="N/A"/>
  </r>
  <r>
    <x v="1610"/>
    <x v="24"/>
    <s v="0x22"/>
    <s v="0x4403"/>
    <n v="29468"/>
    <x v="487"/>
    <s v="L?"/>
  </r>
  <r>
    <x v="1611"/>
    <x v="25"/>
    <s v="0x22"/>
    <s v="0x4a6c"/>
    <s v="N/A"/>
    <x v="3"/>
    <s v="N/A"/>
  </r>
  <r>
    <x v="1612"/>
    <x v="0"/>
    <s v="0x22"/>
    <s v="0x5822"/>
    <n v="165"/>
    <x v="138"/>
    <s v="degC"/>
  </r>
  <r>
    <x v="1613"/>
    <x v="1"/>
    <s v="0x22"/>
    <s v="0x4300"/>
    <n v="201"/>
    <x v="1"/>
    <s v="degC"/>
  </r>
  <r>
    <x v="1614"/>
    <x v="2"/>
    <s v="0x22"/>
    <s v="0x5834"/>
    <n v="25902"/>
    <x v="2"/>
    <s v="hPa"/>
  </r>
  <r>
    <x v="1615"/>
    <x v="3"/>
    <s v="0x22"/>
    <s v="0x4411"/>
    <s v="N/A"/>
    <x v="3"/>
    <s v="N/A"/>
  </r>
  <r>
    <x v="1616"/>
    <x v="4"/>
    <s v="0x22"/>
    <s v="0x4205"/>
    <n v="13085"/>
    <x v="202"/>
    <s v="hPa"/>
  </r>
  <r>
    <x v="1617"/>
    <x v="5"/>
    <s v="0x22"/>
    <s v="0x4807"/>
    <n v="6335"/>
    <x v="488"/>
    <s v="rpm"/>
  </r>
  <r>
    <x v="1618"/>
    <x v="6"/>
    <s v="0x22"/>
    <s v="0x5881"/>
    <n v="3"/>
    <x v="95"/>
    <s v="-"/>
  </r>
  <r>
    <x v="1619"/>
    <x v="7"/>
    <s v="0x22"/>
    <s v="0x460c"/>
    <n v="603"/>
    <x v="52"/>
    <s v="V"/>
  </r>
  <r>
    <x v="1620"/>
    <x v="8"/>
    <s v="0x22"/>
    <s v="0x586f"/>
    <n v="2814"/>
    <x v="489"/>
    <s v="hPa"/>
  </r>
  <r>
    <x v="1621"/>
    <x v="9"/>
    <s v="0x22"/>
    <s v="0x5816"/>
    <n v="3766"/>
    <x v="99"/>
    <s v="-"/>
  </r>
  <r>
    <x v="1622"/>
    <x v="10"/>
    <s v="0x22"/>
    <s v="0x5889"/>
    <n v="3838"/>
    <x v="34"/>
    <s v="-"/>
  </r>
  <r>
    <x v="1623"/>
    <x v="11"/>
    <s v="0x22"/>
    <s v="0x4ab1"/>
    <s v="N/A"/>
    <x v="3"/>
    <s v="N/A"/>
  </r>
  <r>
    <x v="1624"/>
    <x v="12"/>
    <s v="0x22"/>
    <s v="0x4811"/>
    <s v="N/A"/>
    <x v="3"/>
    <s v="N/A"/>
  </r>
  <r>
    <x v="1625"/>
    <x v="13"/>
    <s v="0x22"/>
    <s v="0x4812"/>
    <s v="N/A"/>
    <x v="3"/>
    <s v="N/A"/>
  </r>
  <r>
    <x v="1626"/>
    <x v="14"/>
    <s v="0x22"/>
    <s v="0x58ef"/>
    <n v="10729"/>
    <x v="490"/>
    <s v="MPa"/>
  </r>
  <r>
    <x v="1627"/>
    <x v="15"/>
    <s v="0x22"/>
    <s v="0x58b7"/>
    <n v="1"/>
    <x v="6"/>
    <s v="hPa"/>
  </r>
  <r>
    <x v="1628"/>
    <x v="16"/>
    <s v="0x22"/>
    <s v="0x5800"/>
    <n v="4420"/>
    <x v="491"/>
    <s v="s"/>
  </r>
  <r>
    <x v="1629"/>
    <x v="17"/>
    <s v="0x22"/>
    <s v="0x580b"/>
    <n v="24519"/>
    <x v="492"/>
    <s v="hPa"/>
  </r>
  <r>
    <x v="1630"/>
    <x v="18"/>
    <s v="0x22"/>
    <s v="0x580f"/>
    <n v="92"/>
    <x v="472"/>
    <s v="degC"/>
  </r>
  <r>
    <x v="1631"/>
    <x v="19"/>
    <s v="0x22"/>
    <s v="0x5818"/>
    <n v="3"/>
    <x v="27"/>
    <s v="kg/hr"/>
  </r>
  <r>
    <x v="1632"/>
    <x v="20"/>
    <s v="0x22"/>
    <s v="0x4521"/>
    <s v="N/A"/>
    <x v="3"/>
    <s v="N/A"/>
  </r>
  <r>
    <x v="1633"/>
    <x v="21"/>
    <s v="0x22"/>
    <s v="0x4abf"/>
    <s v="N/A"/>
    <x v="3"/>
    <s v="N/A"/>
  </r>
  <r>
    <x v="1634"/>
    <x v="22"/>
    <s v="0x22"/>
    <s v="0x4ac0"/>
    <s v="N/A"/>
    <x v="3"/>
    <s v="N/A"/>
  </r>
  <r>
    <x v="1635"/>
    <x v="23"/>
    <s v="0x22"/>
    <s v="0x4522"/>
    <s v="N/A"/>
    <x v="3"/>
    <s v="N/A"/>
  </r>
  <r>
    <x v="1636"/>
    <x v="24"/>
    <s v="0x22"/>
    <s v="0x4403"/>
    <n v="29493"/>
    <x v="487"/>
    <s v="L?"/>
  </r>
  <r>
    <x v="1637"/>
    <x v="25"/>
    <s v="0x22"/>
    <s v="0x4a6c"/>
    <s v="N/A"/>
    <x v="3"/>
    <s v="N/A"/>
  </r>
  <r>
    <x v="1638"/>
    <x v="0"/>
    <s v="0x22"/>
    <s v="0x5822"/>
    <n v="165"/>
    <x v="138"/>
    <s v="degC"/>
  </r>
  <r>
    <x v="1639"/>
    <x v="1"/>
    <s v="0x22"/>
    <s v="0x4300"/>
    <n v="202"/>
    <x v="121"/>
    <s v="degC"/>
  </r>
  <r>
    <x v="1640"/>
    <x v="2"/>
    <s v="0x22"/>
    <s v="0x5834"/>
    <n v="25902"/>
    <x v="2"/>
    <s v="hPa"/>
  </r>
  <r>
    <x v="1641"/>
    <x v="3"/>
    <s v="0x22"/>
    <s v="0x4411"/>
    <s v="N/A"/>
    <x v="3"/>
    <s v="N/A"/>
  </r>
  <r>
    <x v="1642"/>
    <x v="4"/>
    <s v="0x22"/>
    <s v="0x4205"/>
    <n v="13024"/>
    <x v="493"/>
    <s v="hPa"/>
  </r>
  <r>
    <x v="1643"/>
    <x v="5"/>
    <s v="0x22"/>
    <s v="0x4807"/>
    <n v="6407"/>
    <x v="494"/>
    <s v="rpm"/>
  </r>
  <r>
    <x v="1644"/>
    <x v="6"/>
    <s v="0x22"/>
    <s v="0x5881"/>
    <n v="3"/>
    <x v="95"/>
    <s v="-"/>
  </r>
  <r>
    <x v="1645"/>
    <x v="7"/>
    <s v="0x22"/>
    <s v="0x460c"/>
    <n v="605"/>
    <x v="71"/>
    <s v="V"/>
  </r>
  <r>
    <x v="1646"/>
    <x v="8"/>
    <s v="0x22"/>
    <s v="0x586f"/>
    <n v="3176"/>
    <x v="495"/>
    <s v="hPa"/>
  </r>
  <r>
    <x v="1647"/>
    <x v="9"/>
    <s v="0x22"/>
    <s v="0x5816"/>
    <n v="3689"/>
    <x v="143"/>
    <s v="-"/>
  </r>
  <r>
    <x v="1648"/>
    <x v="10"/>
    <s v="0x22"/>
    <s v="0x5889"/>
    <n v="3555"/>
    <x v="496"/>
    <s v="-"/>
  </r>
  <r>
    <x v="1649"/>
    <x v="11"/>
    <s v="0x22"/>
    <s v="0x4ab1"/>
    <s v="N/A"/>
    <x v="3"/>
    <s v="N/A"/>
  </r>
  <r>
    <x v="1650"/>
    <x v="12"/>
    <s v="0x22"/>
    <s v="0x4811"/>
    <s v="N/A"/>
    <x v="3"/>
    <s v="N/A"/>
  </r>
  <r>
    <x v="1651"/>
    <x v="13"/>
    <s v="0x22"/>
    <s v="0x4812"/>
    <s v="N/A"/>
    <x v="3"/>
    <s v="N/A"/>
  </r>
  <r>
    <x v="1652"/>
    <x v="14"/>
    <s v="0x22"/>
    <s v="0x58ef"/>
    <n v="10756"/>
    <x v="497"/>
    <s v="MPa"/>
  </r>
  <r>
    <x v="1653"/>
    <x v="15"/>
    <s v="0x22"/>
    <s v="0x58b7"/>
    <n v="5"/>
    <x v="240"/>
    <s v="hPa"/>
  </r>
  <r>
    <x v="1654"/>
    <x v="16"/>
    <s v="0x22"/>
    <s v="0x5800"/>
    <n v="4491"/>
    <x v="498"/>
    <s v="s"/>
  </r>
  <r>
    <x v="1655"/>
    <x v="17"/>
    <s v="0x22"/>
    <s v="0x580b"/>
    <n v="24420"/>
    <x v="499"/>
    <s v="hPa"/>
  </r>
  <r>
    <x v="1656"/>
    <x v="18"/>
    <s v="0x22"/>
    <s v="0x580f"/>
    <n v="91"/>
    <x v="500"/>
    <s v="degC"/>
  </r>
  <r>
    <x v="1657"/>
    <x v="19"/>
    <s v="0x22"/>
    <s v="0x5818"/>
    <n v="3"/>
    <x v="27"/>
    <s v="kg/hr"/>
  </r>
  <r>
    <x v="1658"/>
    <x v="20"/>
    <s v="0x22"/>
    <s v="0x4521"/>
    <s v="N/A"/>
    <x v="3"/>
    <s v="N/A"/>
  </r>
  <r>
    <x v="1659"/>
    <x v="21"/>
    <s v="0x22"/>
    <s v="0x4abf"/>
    <s v="N/A"/>
    <x v="3"/>
    <s v="N/A"/>
  </r>
  <r>
    <x v="1660"/>
    <x v="22"/>
    <s v="0x22"/>
    <s v="0x4ac0"/>
    <s v="N/A"/>
    <x v="3"/>
    <s v="N/A"/>
  </r>
  <r>
    <x v="1661"/>
    <x v="23"/>
    <s v="0x22"/>
    <s v="0x4522"/>
    <s v="N/A"/>
    <x v="3"/>
    <s v="N/A"/>
  </r>
  <r>
    <x v="1662"/>
    <x v="24"/>
    <s v="0x22"/>
    <s v="0x4403"/>
    <n v="29518"/>
    <x v="487"/>
    <s v="L?"/>
  </r>
  <r>
    <x v="1663"/>
    <x v="25"/>
    <s v="0x22"/>
    <s v="0x4a6c"/>
    <s v="N/A"/>
    <x v="3"/>
    <s v="N/A"/>
  </r>
  <r>
    <x v="1664"/>
    <x v="0"/>
    <s v="0x22"/>
    <s v="0x5822"/>
    <n v="165"/>
    <x v="138"/>
    <s v="degC"/>
  </r>
  <r>
    <x v="1665"/>
    <x v="1"/>
    <s v="0x22"/>
    <s v="0x4300"/>
    <n v="203"/>
    <x v="129"/>
    <s v="degC"/>
  </r>
  <r>
    <x v="1666"/>
    <x v="2"/>
    <s v="0x22"/>
    <s v="0x5834"/>
    <n v="25902"/>
    <x v="2"/>
    <s v="hPa"/>
  </r>
  <r>
    <x v="1667"/>
    <x v="3"/>
    <s v="0x22"/>
    <s v="0x4411"/>
    <s v="N/A"/>
    <x v="3"/>
    <s v="N/A"/>
  </r>
  <r>
    <x v="1668"/>
    <x v="4"/>
    <s v="0x22"/>
    <s v="0x4205"/>
    <n v="12929"/>
    <x v="501"/>
    <s v="hPa"/>
  </r>
  <r>
    <x v="1669"/>
    <x v="5"/>
    <s v="0x22"/>
    <s v="0x4807"/>
    <n v="4311"/>
    <x v="502"/>
    <s v="rpm"/>
  </r>
  <r>
    <x v="1670"/>
    <x v="6"/>
    <s v="0x22"/>
    <s v="0x5881"/>
    <n v="3"/>
    <x v="95"/>
    <s v="-"/>
  </r>
  <r>
    <x v="1671"/>
    <x v="7"/>
    <s v="0x22"/>
    <s v="0x460c"/>
    <n v="603"/>
    <x v="52"/>
    <s v="V"/>
  </r>
  <r>
    <x v="1672"/>
    <x v="8"/>
    <s v="0x22"/>
    <s v="0x586f"/>
    <n v="3074"/>
    <x v="503"/>
    <s v="hPa"/>
  </r>
  <r>
    <x v="1673"/>
    <x v="9"/>
    <s v="0x22"/>
    <s v="0x5816"/>
    <n v="3693"/>
    <x v="143"/>
    <s v="-"/>
  </r>
  <r>
    <x v="1674"/>
    <x v="10"/>
    <s v="0x22"/>
    <s v="0x5889"/>
    <n v="3532"/>
    <x v="504"/>
    <s v="-"/>
  </r>
  <r>
    <x v="1675"/>
    <x v="11"/>
    <s v="0x22"/>
    <s v="0x4ab1"/>
    <s v="N/A"/>
    <x v="3"/>
    <s v="N/A"/>
  </r>
  <r>
    <x v="1676"/>
    <x v="12"/>
    <s v="0x22"/>
    <s v="0x4811"/>
    <s v="N/A"/>
    <x v="3"/>
    <s v="N/A"/>
  </r>
  <r>
    <x v="1677"/>
    <x v="13"/>
    <s v="0x22"/>
    <s v="0x4812"/>
    <s v="N/A"/>
    <x v="3"/>
    <s v="N/A"/>
  </r>
  <r>
    <x v="1678"/>
    <x v="14"/>
    <s v="0x22"/>
    <s v="0x58ef"/>
    <n v="11744"/>
    <x v="505"/>
    <s v="MPa"/>
  </r>
  <r>
    <x v="1679"/>
    <x v="15"/>
    <s v="0x22"/>
    <s v="0x58b7"/>
    <n v="1"/>
    <x v="6"/>
    <s v="hPa"/>
  </r>
  <r>
    <x v="1680"/>
    <x v="16"/>
    <s v="0x22"/>
    <s v="0x5800"/>
    <n v="4560"/>
    <x v="506"/>
    <s v="s"/>
  </r>
  <r>
    <x v="1681"/>
    <x v="17"/>
    <s v="0x22"/>
    <s v="0x580b"/>
    <n v="24570"/>
    <x v="507"/>
    <s v="hPa"/>
  </r>
  <r>
    <x v="1682"/>
    <x v="18"/>
    <s v="0x22"/>
    <s v="0x580f"/>
    <n v="91"/>
    <x v="500"/>
    <s v="degC"/>
  </r>
  <r>
    <x v="1683"/>
    <x v="19"/>
    <s v="0x22"/>
    <s v="0x5818"/>
    <n v="7"/>
    <x v="294"/>
    <s v="kg/hr"/>
  </r>
  <r>
    <x v="1684"/>
    <x v="20"/>
    <s v="0x22"/>
    <s v="0x4521"/>
    <s v="N/A"/>
    <x v="3"/>
    <s v="N/A"/>
  </r>
  <r>
    <x v="1685"/>
    <x v="21"/>
    <s v="0x22"/>
    <s v="0x4abf"/>
    <s v="N/A"/>
    <x v="3"/>
    <s v="N/A"/>
  </r>
  <r>
    <x v="1686"/>
    <x v="22"/>
    <s v="0x22"/>
    <s v="0x4ac0"/>
    <s v="N/A"/>
    <x v="3"/>
    <s v="N/A"/>
  </r>
  <r>
    <x v="1687"/>
    <x v="23"/>
    <s v="0x22"/>
    <s v="0x4522"/>
    <s v="N/A"/>
    <x v="3"/>
    <s v="N/A"/>
  </r>
  <r>
    <x v="1688"/>
    <x v="24"/>
    <s v="0x22"/>
    <s v="0x4403"/>
    <n v="29551"/>
    <x v="508"/>
    <s v="L?"/>
  </r>
  <r>
    <x v="1689"/>
    <x v="25"/>
    <s v="0x22"/>
    <s v="0x4a6c"/>
    <s v="N/A"/>
    <x v="3"/>
    <s v="N/A"/>
  </r>
  <r>
    <x v="1690"/>
    <x v="0"/>
    <s v="0x22"/>
    <s v="0x5822"/>
    <n v="165"/>
    <x v="138"/>
    <s v="degC"/>
  </r>
  <r>
    <x v="1691"/>
    <x v="1"/>
    <s v="0x22"/>
    <s v="0x4300"/>
    <n v="204"/>
    <x v="138"/>
    <s v="degC"/>
  </r>
  <r>
    <x v="1692"/>
    <x v="2"/>
    <s v="0x22"/>
    <s v="0x5834"/>
    <n v="25902"/>
    <x v="2"/>
    <s v="hPa"/>
  </r>
  <r>
    <x v="1693"/>
    <x v="3"/>
    <s v="0x22"/>
    <s v="0x4411"/>
    <s v="N/A"/>
    <x v="3"/>
    <s v="N/A"/>
  </r>
  <r>
    <x v="1694"/>
    <x v="4"/>
    <s v="0x22"/>
    <s v="0x4205"/>
    <n v="13054"/>
    <x v="509"/>
    <s v="hPa"/>
  </r>
  <r>
    <x v="1695"/>
    <x v="5"/>
    <s v="0x22"/>
    <s v="0x4807"/>
    <n v="6703"/>
    <x v="510"/>
    <s v="rpm"/>
  </r>
  <r>
    <x v="1696"/>
    <x v="6"/>
    <s v="0x22"/>
    <s v="0x5881"/>
    <n v="3"/>
    <x v="95"/>
    <s v="-"/>
  </r>
  <r>
    <x v="1697"/>
    <x v="7"/>
    <s v="0x22"/>
    <s v="0x460c"/>
    <n v="602"/>
    <x v="96"/>
    <s v="V"/>
  </r>
  <r>
    <x v="1698"/>
    <x v="8"/>
    <s v="0x22"/>
    <s v="0x586f"/>
    <n v="2679"/>
    <x v="511"/>
    <s v="hPa"/>
  </r>
  <r>
    <x v="1699"/>
    <x v="9"/>
    <s v="0x22"/>
    <s v="0x5816"/>
    <n v="4068"/>
    <x v="9"/>
    <s v="-"/>
  </r>
  <r>
    <x v="1700"/>
    <x v="10"/>
    <s v="0x22"/>
    <s v="0x5889"/>
    <n v="4009"/>
    <x v="281"/>
    <s v="-"/>
  </r>
  <r>
    <x v="1701"/>
    <x v="11"/>
    <s v="0x22"/>
    <s v="0x4ab1"/>
    <s v="N/A"/>
    <x v="3"/>
    <s v="N/A"/>
  </r>
  <r>
    <x v="1702"/>
    <x v="12"/>
    <s v="0x22"/>
    <s v="0x4811"/>
    <s v="N/A"/>
    <x v="3"/>
    <s v="N/A"/>
  </r>
  <r>
    <x v="1703"/>
    <x v="13"/>
    <s v="0x22"/>
    <s v="0x4812"/>
    <s v="N/A"/>
    <x v="3"/>
    <s v="N/A"/>
  </r>
  <r>
    <x v="1704"/>
    <x v="14"/>
    <s v="0x22"/>
    <s v="0x58ef"/>
    <n v="15044"/>
    <x v="512"/>
    <s v="MPa"/>
  </r>
  <r>
    <x v="1705"/>
    <x v="15"/>
    <s v="0x22"/>
    <s v="0x58b7"/>
    <n v="1"/>
    <x v="6"/>
    <s v="hPa"/>
  </r>
  <r>
    <x v="1706"/>
    <x v="16"/>
    <s v="0x22"/>
    <s v="0x5800"/>
    <n v="4629"/>
    <x v="513"/>
    <s v="s"/>
  </r>
  <r>
    <x v="1707"/>
    <x v="17"/>
    <s v="0x22"/>
    <s v="0x580b"/>
    <n v="24506"/>
    <x v="174"/>
    <s v="hPa"/>
  </r>
  <r>
    <x v="1708"/>
    <x v="18"/>
    <s v="0x22"/>
    <s v="0x580f"/>
    <n v="91"/>
    <x v="500"/>
    <s v="degC"/>
  </r>
  <r>
    <x v="1709"/>
    <x v="19"/>
    <s v="0x22"/>
    <s v="0x5818"/>
    <n v="9"/>
    <x v="79"/>
    <s v="kg/hr"/>
  </r>
  <r>
    <x v="1710"/>
    <x v="20"/>
    <s v="0x22"/>
    <s v="0x4521"/>
    <s v="N/A"/>
    <x v="3"/>
    <s v="N/A"/>
  </r>
  <r>
    <x v="1711"/>
    <x v="21"/>
    <s v="0x22"/>
    <s v="0x4abf"/>
    <s v="N/A"/>
    <x v="3"/>
    <s v="N/A"/>
  </r>
  <r>
    <x v="1712"/>
    <x v="22"/>
    <s v="0x22"/>
    <s v="0x4ac0"/>
    <s v="N/A"/>
    <x v="3"/>
    <s v="N/A"/>
  </r>
  <r>
    <x v="1713"/>
    <x v="23"/>
    <s v="0x22"/>
    <s v="0x4522"/>
    <s v="N/A"/>
    <x v="3"/>
    <s v="N/A"/>
  </r>
  <r>
    <x v="1714"/>
    <x v="24"/>
    <s v="0x22"/>
    <s v="0x4403"/>
    <n v="29597"/>
    <x v="508"/>
    <s v="L?"/>
  </r>
  <r>
    <x v="1715"/>
    <x v="25"/>
    <s v="0x22"/>
    <s v="0x4a6c"/>
    <s v="N/A"/>
    <x v="3"/>
    <s v="N/A"/>
  </r>
  <r>
    <x v="1716"/>
    <x v="0"/>
    <s v="0x22"/>
    <s v="0x5822"/>
    <n v="165"/>
    <x v="138"/>
    <s v="degC"/>
  </r>
  <r>
    <x v="1717"/>
    <x v="1"/>
    <s v="0x22"/>
    <s v="0x4300"/>
    <n v="205"/>
    <x v="150"/>
    <s v="degC"/>
  </r>
  <r>
    <x v="1718"/>
    <x v="2"/>
    <s v="0x22"/>
    <s v="0x5834"/>
    <n v="25902"/>
    <x v="2"/>
    <s v="hPa"/>
  </r>
  <r>
    <x v="1719"/>
    <x v="3"/>
    <s v="0x22"/>
    <s v="0x4411"/>
    <s v="N/A"/>
    <x v="3"/>
    <s v="N/A"/>
  </r>
  <r>
    <x v="1720"/>
    <x v="4"/>
    <s v="0x22"/>
    <s v="0x4205"/>
    <n v="13093"/>
    <x v="93"/>
    <s v="hPa"/>
  </r>
  <r>
    <x v="1721"/>
    <x v="5"/>
    <s v="0x22"/>
    <s v="0x4807"/>
    <n v="5711"/>
    <x v="203"/>
    <s v="rpm"/>
  </r>
  <r>
    <x v="1722"/>
    <x v="6"/>
    <s v="0x22"/>
    <s v="0x5881"/>
    <n v="3"/>
    <x v="95"/>
    <s v="-"/>
  </r>
  <r>
    <x v="1723"/>
    <x v="7"/>
    <s v="0x22"/>
    <s v="0x460c"/>
    <n v="602"/>
    <x v="96"/>
    <s v="V"/>
  </r>
  <r>
    <x v="1724"/>
    <x v="8"/>
    <s v="0x22"/>
    <s v="0x586f"/>
    <n v="2622"/>
    <x v="514"/>
    <s v="hPa"/>
  </r>
  <r>
    <x v="1725"/>
    <x v="9"/>
    <s v="0x22"/>
    <s v="0x5816"/>
    <n v="17"/>
    <x v="21"/>
    <s v="-"/>
  </r>
  <r>
    <x v="1726"/>
    <x v="10"/>
    <s v="0x22"/>
    <s v="0x5889"/>
    <n v="4094"/>
    <x v="6"/>
    <s v="-"/>
  </r>
  <r>
    <x v="1727"/>
    <x v="11"/>
    <s v="0x22"/>
    <s v="0x4ab1"/>
    <s v="N/A"/>
    <x v="3"/>
    <s v="N/A"/>
  </r>
  <r>
    <x v="1728"/>
    <x v="12"/>
    <s v="0x22"/>
    <s v="0x4811"/>
    <s v="N/A"/>
    <x v="3"/>
    <s v="N/A"/>
  </r>
  <r>
    <x v="1729"/>
    <x v="13"/>
    <s v="0x22"/>
    <s v="0x4812"/>
    <s v="N/A"/>
    <x v="3"/>
    <s v="N/A"/>
  </r>
  <r>
    <x v="1730"/>
    <x v="14"/>
    <s v="0x22"/>
    <s v="0x58ef"/>
    <n v="9539"/>
    <x v="515"/>
    <s v="MPa"/>
  </r>
  <r>
    <x v="1731"/>
    <x v="15"/>
    <s v="0x22"/>
    <s v="0x58b7"/>
    <n v="1"/>
    <x v="6"/>
    <s v="hPa"/>
  </r>
  <r>
    <x v="1732"/>
    <x v="16"/>
    <s v="0x22"/>
    <s v="0x5800"/>
    <n v="4698"/>
    <x v="516"/>
    <s v="s"/>
  </r>
  <r>
    <x v="1733"/>
    <x v="17"/>
    <s v="0x22"/>
    <s v="0x580b"/>
    <n v="24263"/>
    <x v="517"/>
    <s v="hPa"/>
  </r>
  <r>
    <x v="1734"/>
    <x v="18"/>
    <s v="0x22"/>
    <s v="0x580f"/>
    <n v="91"/>
    <x v="500"/>
    <s v="degC"/>
  </r>
  <r>
    <x v="1735"/>
    <x v="19"/>
    <s v="0x22"/>
    <s v="0x5818"/>
    <n v="3"/>
    <x v="27"/>
    <s v="kg/hr"/>
  </r>
  <r>
    <x v="1736"/>
    <x v="20"/>
    <s v="0x22"/>
    <s v="0x4521"/>
    <s v="N/A"/>
    <x v="3"/>
    <s v="N/A"/>
  </r>
  <r>
    <x v="1737"/>
    <x v="21"/>
    <s v="0x22"/>
    <s v="0x4abf"/>
    <s v="N/A"/>
    <x v="3"/>
    <s v="N/A"/>
  </r>
  <r>
    <x v="1738"/>
    <x v="22"/>
    <s v="0x22"/>
    <s v="0x4ac0"/>
    <s v="N/A"/>
    <x v="3"/>
    <s v="N/A"/>
  </r>
  <r>
    <x v="1739"/>
    <x v="23"/>
    <s v="0x22"/>
    <s v="0x4522"/>
    <s v="N/A"/>
    <x v="3"/>
    <s v="N/A"/>
  </r>
  <r>
    <x v="1740"/>
    <x v="24"/>
    <s v="0x22"/>
    <s v="0x4403"/>
    <n v="29618"/>
    <x v="518"/>
    <s v="L?"/>
  </r>
  <r>
    <x v="1741"/>
    <x v="25"/>
    <s v="0x22"/>
    <s v="0x4a6c"/>
    <s v="N/A"/>
    <x v="3"/>
    <s v="N/A"/>
  </r>
  <r>
    <x v="1742"/>
    <x v="0"/>
    <s v="0x22"/>
    <s v="0x5822"/>
    <n v="165"/>
    <x v="138"/>
    <s v="degC"/>
  </r>
  <r>
    <x v="1743"/>
    <x v="1"/>
    <s v="0x22"/>
    <s v="0x4300"/>
    <n v="205"/>
    <x v="150"/>
    <s v="degC"/>
  </r>
  <r>
    <x v="1744"/>
    <x v="2"/>
    <s v="0x22"/>
    <s v="0x5834"/>
    <n v="25902"/>
    <x v="2"/>
    <s v="hPa"/>
  </r>
  <r>
    <x v="1745"/>
    <x v="3"/>
    <s v="0x22"/>
    <s v="0x4411"/>
    <s v="N/A"/>
    <x v="3"/>
    <s v="N/A"/>
  </r>
  <r>
    <x v="1746"/>
    <x v="4"/>
    <s v="0x22"/>
    <s v="0x4205"/>
    <n v="12949"/>
    <x v="435"/>
    <s v="hPa"/>
  </r>
  <r>
    <x v="1747"/>
    <x v="5"/>
    <s v="0x22"/>
    <s v="0x4807"/>
    <n v="5055"/>
    <x v="519"/>
    <s v="rpm"/>
  </r>
  <r>
    <x v="1748"/>
    <x v="6"/>
    <s v="0x22"/>
    <s v="0x5881"/>
    <n v="2"/>
    <x v="43"/>
    <s v="-"/>
  </r>
  <r>
    <x v="1749"/>
    <x v="7"/>
    <s v="0x22"/>
    <s v="0x460c"/>
    <n v="603"/>
    <x v="52"/>
    <s v="V"/>
  </r>
  <r>
    <x v="1750"/>
    <x v="8"/>
    <s v="0x22"/>
    <s v="0x586f"/>
    <n v="2948"/>
    <x v="520"/>
    <s v="hPa"/>
  </r>
  <r>
    <x v="1751"/>
    <x v="9"/>
    <s v="0x22"/>
    <s v="0x5816"/>
    <n v="3693"/>
    <x v="143"/>
    <s v="-"/>
  </r>
  <r>
    <x v="1752"/>
    <x v="10"/>
    <s v="0x22"/>
    <s v="0x5889"/>
    <n v="3804"/>
    <x v="35"/>
    <s v="-"/>
  </r>
  <r>
    <x v="1753"/>
    <x v="11"/>
    <s v="0x22"/>
    <s v="0x4ab1"/>
    <s v="N/A"/>
    <x v="3"/>
    <s v="N/A"/>
  </r>
  <r>
    <x v="1754"/>
    <x v="12"/>
    <s v="0x22"/>
    <s v="0x4811"/>
    <s v="N/A"/>
    <x v="3"/>
    <s v="N/A"/>
  </r>
  <r>
    <x v="1755"/>
    <x v="13"/>
    <s v="0x22"/>
    <s v="0x4812"/>
    <s v="N/A"/>
    <x v="3"/>
    <s v="N/A"/>
  </r>
  <r>
    <x v="1756"/>
    <x v="14"/>
    <s v="0x22"/>
    <s v="0x58ef"/>
    <n v="10295"/>
    <x v="521"/>
    <s v="MPa"/>
  </r>
  <r>
    <x v="1757"/>
    <x v="15"/>
    <s v="0x22"/>
    <s v="0x58b7"/>
    <n v="1"/>
    <x v="6"/>
    <s v="hPa"/>
  </r>
  <r>
    <x v="1758"/>
    <x v="16"/>
    <s v="0x22"/>
    <s v="0x5800"/>
    <n v="4768"/>
    <x v="522"/>
    <s v="s"/>
  </r>
  <r>
    <x v="1759"/>
    <x v="17"/>
    <s v="0x22"/>
    <s v="0x580b"/>
    <n v="24621"/>
    <x v="523"/>
    <s v="hPa"/>
  </r>
  <r>
    <x v="1760"/>
    <x v="18"/>
    <s v="0x22"/>
    <s v="0x580f"/>
    <n v="91"/>
    <x v="500"/>
    <s v="degC"/>
  </r>
  <r>
    <x v="1761"/>
    <x v="19"/>
    <s v="0x22"/>
    <s v="0x5818"/>
    <n v="3"/>
    <x v="27"/>
    <s v="kg/hr"/>
  </r>
  <r>
    <x v="1762"/>
    <x v="20"/>
    <s v="0x22"/>
    <s v="0x4521"/>
    <s v="N/A"/>
    <x v="3"/>
    <s v="N/A"/>
  </r>
  <r>
    <x v="1763"/>
    <x v="21"/>
    <s v="0x22"/>
    <s v="0x4abf"/>
    <s v="N/A"/>
    <x v="3"/>
    <s v="N/A"/>
  </r>
  <r>
    <x v="1764"/>
    <x v="22"/>
    <s v="0x22"/>
    <s v="0x4ac0"/>
    <s v="N/A"/>
    <x v="3"/>
    <s v="N/A"/>
  </r>
  <r>
    <x v="1765"/>
    <x v="23"/>
    <s v="0x22"/>
    <s v="0x4522"/>
    <s v="N/A"/>
    <x v="3"/>
    <s v="N/A"/>
  </r>
  <r>
    <x v="1766"/>
    <x v="24"/>
    <s v="0x22"/>
    <s v="0x4403"/>
    <n v="29642"/>
    <x v="518"/>
    <s v="L?"/>
  </r>
  <r>
    <x v="1767"/>
    <x v="25"/>
    <s v="0x22"/>
    <s v="0x4a6c"/>
    <s v="N/A"/>
    <x v="3"/>
    <s v="N/A"/>
  </r>
  <r>
    <x v="1768"/>
    <x v="0"/>
    <s v="0x22"/>
    <s v="0x5822"/>
    <n v="165"/>
    <x v="138"/>
    <s v="degC"/>
  </r>
  <r>
    <x v="1769"/>
    <x v="1"/>
    <s v="0x22"/>
    <s v="0x4300"/>
    <n v="205"/>
    <x v="150"/>
    <s v="degC"/>
  </r>
  <r>
    <x v="1770"/>
    <x v="2"/>
    <s v="0x22"/>
    <s v="0x5834"/>
    <n v="25902"/>
    <x v="2"/>
    <s v="hPa"/>
  </r>
  <r>
    <x v="1771"/>
    <x v="3"/>
    <s v="0x22"/>
    <s v="0x4411"/>
    <s v="N/A"/>
    <x v="3"/>
    <s v="N/A"/>
  </r>
  <r>
    <x v="1772"/>
    <x v="4"/>
    <s v="0x22"/>
    <s v="0x4205"/>
    <n v="12949"/>
    <x v="435"/>
    <s v="hPa"/>
  </r>
  <r>
    <x v="1773"/>
    <x v="5"/>
    <s v="0x22"/>
    <s v="0x4807"/>
    <n v="5215"/>
    <x v="524"/>
    <s v="rpm"/>
  </r>
  <r>
    <x v="1774"/>
    <x v="6"/>
    <s v="0x22"/>
    <s v="0x5881"/>
    <n v="2"/>
    <x v="43"/>
    <s v="-"/>
  </r>
  <r>
    <x v="1775"/>
    <x v="7"/>
    <s v="0x22"/>
    <s v="0x460c"/>
    <n v="604"/>
    <x v="252"/>
    <s v="V"/>
  </r>
  <r>
    <x v="1776"/>
    <x v="8"/>
    <s v="0x22"/>
    <s v="0x586f"/>
    <n v="3204"/>
    <x v="86"/>
    <s v="hPa"/>
  </r>
  <r>
    <x v="1777"/>
    <x v="9"/>
    <s v="0x22"/>
    <s v="0x5816"/>
    <n v="3961"/>
    <x v="133"/>
    <s v="-"/>
  </r>
  <r>
    <x v="1778"/>
    <x v="10"/>
    <s v="0x22"/>
    <s v="0x5889"/>
    <n v="3903"/>
    <x v="108"/>
    <s v="-"/>
  </r>
  <r>
    <x v="1779"/>
    <x v="11"/>
    <s v="0x22"/>
    <s v="0x4ab1"/>
    <s v="N/A"/>
    <x v="3"/>
    <s v="N/A"/>
  </r>
  <r>
    <x v="1780"/>
    <x v="12"/>
    <s v="0x22"/>
    <s v="0x4811"/>
    <s v="N/A"/>
    <x v="3"/>
    <s v="N/A"/>
  </r>
  <r>
    <x v="1781"/>
    <x v="13"/>
    <s v="0x22"/>
    <s v="0x4812"/>
    <s v="N/A"/>
    <x v="3"/>
    <s v="N/A"/>
  </r>
  <r>
    <x v="1782"/>
    <x v="14"/>
    <s v="0x22"/>
    <s v="0x58ef"/>
    <n v="9872"/>
    <x v="525"/>
    <s v="MPa"/>
  </r>
  <r>
    <x v="1783"/>
    <x v="15"/>
    <s v="0x22"/>
    <s v="0x58b7"/>
    <n v="1"/>
    <x v="6"/>
    <s v="hPa"/>
  </r>
  <r>
    <x v="1784"/>
    <x v="16"/>
    <s v="0x22"/>
    <s v="0x5800"/>
    <n v="4838"/>
    <x v="526"/>
    <s v="s"/>
  </r>
  <r>
    <x v="1785"/>
    <x v="17"/>
    <s v="0x22"/>
    <s v="0x580b"/>
    <n v="23847"/>
    <x v="527"/>
    <s v="hPa"/>
  </r>
  <r>
    <x v="1786"/>
    <x v="18"/>
    <s v="0x22"/>
    <s v="0x580f"/>
    <n v="91"/>
    <x v="500"/>
    <s v="degC"/>
  </r>
  <r>
    <x v="1787"/>
    <x v="19"/>
    <s v="0x22"/>
    <s v="0x5818"/>
    <n v="3"/>
    <x v="27"/>
    <s v="kg/hr"/>
  </r>
  <r>
    <x v="1788"/>
    <x v="20"/>
    <s v="0x22"/>
    <s v="0x4521"/>
    <s v="N/A"/>
    <x v="3"/>
    <s v="N/A"/>
  </r>
  <r>
    <x v="1789"/>
    <x v="21"/>
    <s v="0x22"/>
    <s v="0x4abf"/>
    <s v="N/A"/>
    <x v="3"/>
    <s v="N/A"/>
  </r>
  <r>
    <x v="1790"/>
    <x v="22"/>
    <s v="0x22"/>
    <s v="0x4ac0"/>
    <s v="N/A"/>
    <x v="3"/>
    <s v="N/A"/>
  </r>
  <r>
    <x v="1791"/>
    <x v="23"/>
    <s v="0x22"/>
    <s v="0x4522"/>
    <s v="N/A"/>
    <x v="3"/>
    <s v="N/A"/>
  </r>
  <r>
    <x v="1792"/>
    <x v="24"/>
    <s v="0x22"/>
    <s v="0x4403"/>
    <n v="29659"/>
    <x v="518"/>
    <s v="L?"/>
  </r>
  <r>
    <x v="1793"/>
    <x v="25"/>
    <s v="0x22"/>
    <s v="0x4a6c"/>
    <s v="N/A"/>
    <x v="3"/>
    <s v="N/A"/>
  </r>
  <r>
    <x v="1794"/>
    <x v="0"/>
    <s v="0x22"/>
    <s v="0x5822"/>
    <n v="165"/>
    <x v="138"/>
    <s v="degC"/>
  </r>
  <r>
    <x v="1795"/>
    <x v="1"/>
    <s v="0x22"/>
    <s v="0x4300"/>
    <n v="205"/>
    <x v="150"/>
    <s v="degC"/>
  </r>
  <r>
    <x v="1796"/>
    <x v="2"/>
    <s v="0x22"/>
    <s v="0x5834"/>
    <n v="25902"/>
    <x v="2"/>
    <s v="hPa"/>
  </r>
  <r>
    <x v="1797"/>
    <x v="3"/>
    <s v="0x22"/>
    <s v="0x4411"/>
    <s v="N/A"/>
    <x v="3"/>
    <s v="N/A"/>
  </r>
  <r>
    <x v="1798"/>
    <x v="4"/>
    <s v="0x22"/>
    <s v="0x4205"/>
    <n v="12791"/>
    <x v="528"/>
    <s v="hPa"/>
  </r>
  <r>
    <x v="1799"/>
    <x v="5"/>
    <s v="0x22"/>
    <s v="0x4807"/>
    <n v="6497"/>
    <x v="529"/>
    <s v="rpm"/>
  </r>
  <r>
    <x v="1800"/>
    <x v="6"/>
    <s v="0x22"/>
    <s v="0x5881"/>
    <n v="1"/>
    <x v="6"/>
    <s v="-"/>
  </r>
  <r>
    <x v="1801"/>
    <x v="7"/>
    <s v="0x22"/>
    <s v="0x460c"/>
    <n v="595"/>
    <x v="530"/>
    <s v="V"/>
  </r>
  <r>
    <x v="1802"/>
    <x v="8"/>
    <s v="0x22"/>
    <s v="0x586f"/>
    <n v="3381"/>
    <x v="531"/>
    <s v="hPa"/>
  </r>
  <r>
    <x v="1803"/>
    <x v="9"/>
    <s v="0x22"/>
    <s v="0x5816"/>
    <n v="16"/>
    <x v="21"/>
    <s v="-"/>
  </r>
  <r>
    <x v="1804"/>
    <x v="10"/>
    <s v="0x22"/>
    <s v="0x5889"/>
    <n v="3748"/>
    <x v="99"/>
    <s v="-"/>
  </r>
  <r>
    <x v="1805"/>
    <x v="11"/>
    <s v="0x22"/>
    <s v="0x4ab1"/>
    <s v="N/A"/>
    <x v="3"/>
    <s v="N/A"/>
  </r>
  <r>
    <x v="1806"/>
    <x v="12"/>
    <s v="0x22"/>
    <s v="0x4811"/>
    <s v="N/A"/>
    <x v="3"/>
    <s v="N/A"/>
  </r>
  <r>
    <x v="1807"/>
    <x v="13"/>
    <s v="0x22"/>
    <s v="0x4812"/>
    <s v="N/A"/>
    <x v="3"/>
    <s v="N/A"/>
  </r>
  <r>
    <x v="1808"/>
    <x v="14"/>
    <s v="0x22"/>
    <s v="0x58ef"/>
    <n v="10737"/>
    <x v="532"/>
    <s v="MPa"/>
  </r>
  <r>
    <x v="1809"/>
    <x v="15"/>
    <s v="0x22"/>
    <s v="0x58b7"/>
    <n v="1"/>
    <x v="6"/>
    <s v="hPa"/>
  </r>
  <r>
    <x v="1810"/>
    <x v="16"/>
    <s v="0x22"/>
    <s v="0x5800"/>
    <n v="4908"/>
    <x v="533"/>
    <s v="s"/>
  </r>
  <r>
    <x v="1811"/>
    <x v="17"/>
    <s v="0x22"/>
    <s v="0x580b"/>
    <n v="24241"/>
    <x v="534"/>
    <s v="hPa"/>
  </r>
  <r>
    <x v="1812"/>
    <x v="18"/>
    <s v="0x22"/>
    <s v="0x580f"/>
    <n v="91"/>
    <x v="500"/>
    <s v="degC"/>
  </r>
  <r>
    <x v="1813"/>
    <x v="19"/>
    <s v="0x22"/>
    <s v="0x5818"/>
    <n v="3"/>
    <x v="27"/>
    <s v="kg/hr"/>
  </r>
  <r>
    <x v="1814"/>
    <x v="20"/>
    <s v="0x22"/>
    <s v="0x4521"/>
    <s v="N/A"/>
    <x v="3"/>
    <s v="N/A"/>
  </r>
  <r>
    <x v="1815"/>
    <x v="21"/>
    <s v="0x22"/>
    <s v="0x4abf"/>
    <s v="N/A"/>
    <x v="3"/>
    <s v="N/A"/>
  </r>
  <r>
    <x v="1816"/>
    <x v="22"/>
    <s v="0x22"/>
    <s v="0x4ac0"/>
    <s v="N/A"/>
    <x v="3"/>
    <s v="N/A"/>
  </r>
  <r>
    <x v="1817"/>
    <x v="23"/>
    <s v="0x22"/>
    <s v="0x4522"/>
    <s v="N/A"/>
    <x v="3"/>
    <s v="N/A"/>
  </r>
  <r>
    <x v="1818"/>
    <x v="24"/>
    <s v="0x22"/>
    <s v="0x4403"/>
    <n v="29681"/>
    <x v="518"/>
    <s v="L?"/>
  </r>
  <r>
    <x v="1819"/>
    <x v="25"/>
    <s v="0x22"/>
    <s v="0x4a6c"/>
    <s v="N/A"/>
    <x v="3"/>
    <s v="N/A"/>
  </r>
  <r>
    <x v="1820"/>
    <x v="0"/>
    <s v="0x22"/>
    <s v="0x5822"/>
    <n v="165"/>
    <x v="138"/>
    <s v="degC"/>
  </r>
  <r>
    <x v="1821"/>
    <x v="1"/>
    <s v="0x22"/>
    <s v="0x4300"/>
    <n v="205"/>
    <x v="150"/>
    <s v="degC"/>
  </r>
  <r>
    <x v="1822"/>
    <x v="2"/>
    <s v="0x22"/>
    <s v="0x5834"/>
    <n v="25902"/>
    <x v="2"/>
    <s v="hPa"/>
  </r>
  <r>
    <x v="1823"/>
    <x v="3"/>
    <s v="0x22"/>
    <s v="0x4411"/>
    <s v="N/A"/>
    <x v="3"/>
    <s v="N/A"/>
  </r>
  <r>
    <x v="1824"/>
    <x v="4"/>
    <s v="0x22"/>
    <s v="0x4205"/>
    <n v="12901"/>
    <x v="535"/>
    <s v="hPa"/>
  </r>
  <r>
    <x v="1825"/>
    <x v="5"/>
    <s v="0x22"/>
    <s v="0x4807"/>
    <n v="3313"/>
    <x v="536"/>
    <s v="rpm"/>
  </r>
  <r>
    <x v="1826"/>
    <x v="6"/>
    <s v="0x22"/>
    <s v="0x5881"/>
    <n v="1"/>
    <x v="6"/>
    <s v="-"/>
  </r>
  <r>
    <x v="1827"/>
    <x v="7"/>
    <s v="0x22"/>
    <s v="0x460c"/>
    <n v="600"/>
    <x v="141"/>
    <s v="V"/>
  </r>
  <r>
    <x v="1828"/>
    <x v="8"/>
    <s v="0x22"/>
    <s v="0x586f"/>
    <n v="2759"/>
    <x v="537"/>
    <s v="hPa"/>
  </r>
  <r>
    <x v="1829"/>
    <x v="9"/>
    <s v="0x22"/>
    <s v="0x5816"/>
    <n v="4095"/>
    <x v="6"/>
    <s v="-"/>
  </r>
  <r>
    <x v="1830"/>
    <x v="10"/>
    <s v="0x22"/>
    <s v="0x5889"/>
    <n v="4058"/>
    <x v="9"/>
    <s v="-"/>
  </r>
  <r>
    <x v="1831"/>
    <x v="11"/>
    <s v="0x22"/>
    <s v="0x4ab1"/>
    <s v="N/A"/>
    <x v="3"/>
    <s v="N/A"/>
  </r>
  <r>
    <x v="1832"/>
    <x v="12"/>
    <s v="0x22"/>
    <s v="0x4811"/>
    <s v="N/A"/>
    <x v="3"/>
    <s v="N/A"/>
  </r>
  <r>
    <x v="1833"/>
    <x v="13"/>
    <s v="0x22"/>
    <s v="0x4812"/>
    <s v="N/A"/>
    <x v="3"/>
    <s v="N/A"/>
  </r>
  <r>
    <x v="1834"/>
    <x v="14"/>
    <s v="0x22"/>
    <s v="0x58ef"/>
    <n v="10751"/>
    <x v="497"/>
    <s v="MPa"/>
  </r>
  <r>
    <x v="1835"/>
    <x v="15"/>
    <s v="0x22"/>
    <s v="0x58b7"/>
    <n v="1"/>
    <x v="6"/>
    <s v="hPa"/>
  </r>
  <r>
    <x v="1836"/>
    <x v="16"/>
    <s v="0x22"/>
    <s v="0x5800"/>
    <n v="4978"/>
    <x v="538"/>
    <s v="s"/>
  </r>
  <r>
    <x v="1837"/>
    <x v="17"/>
    <s v="0x22"/>
    <s v="0x580b"/>
    <n v="23972"/>
    <x v="539"/>
    <s v="hPa"/>
  </r>
  <r>
    <x v="1838"/>
    <x v="18"/>
    <s v="0x22"/>
    <s v="0x580f"/>
    <n v="92"/>
    <x v="472"/>
    <s v="degC"/>
  </r>
  <r>
    <x v="1839"/>
    <x v="19"/>
    <s v="0x22"/>
    <s v="0x5818"/>
    <n v="2"/>
    <x v="14"/>
    <s v="kg/hr"/>
  </r>
  <r>
    <x v="1840"/>
    <x v="20"/>
    <s v="0x22"/>
    <s v="0x4521"/>
    <s v="N/A"/>
    <x v="3"/>
    <s v="N/A"/>
  </r>
  <r>
    <x v="1841"/>
    <x v="21"/>
    <s v="0x22"/>
    <s v="0x4abf"/>
    <s v="N/A"/>
    <x v="3"/>
    <s v="N/A"/>
  </r>
  <r>
    <x v="1842"/>
    <x v="22"/>
    <s v="0x22"/>
    <s v="0x4ac0"/>
    <s v="N/A"/>
    <x v="3"/>
    <s v="N/A"/>
  </r>
  <r>
    <x v="1843"/>
    <x v="23"/>
    <s v="0x22"/>
    <s v="0x4522"/>
    <s v="N/A"/>
    <x v="3"/>
    <s v="N/A"/>
  </r>
  <r>
    <x v="1844"/>
    <x v="24"/>
    <s v="0x22"/>
    <s v="0x4403"/>
    <n v="29692"/>
    <x v="518"/>
    <s v="L?"/>
  </r>
  <r>
    <x v="1845"/>
    <x v="25"/>
    <s v="0x22"/>
    <s v="0x4a6c"/>
    <s v="N/A"/>
    <x v="3"/>
    <s v="N/A"/>
  </r>
  <r>
    <x v="1846"/>
    <x v="0"/>
    <s v="0x22"/>
    <s v="0x5822"/>
    <n v="165"/>
    <x v="138"/>
    <s v="degC"/>
  </r>
  <r>
    <x v="1847"/>
    <x v="1"/>
    <s v="0x22"/>
    <s v="0x4300"/>
    <n v="206"/>
    <x v="540"/>
    <s v="degC"/>
  </r>
  <r>
    <x v="1848"/>
    <x v="2"/>
    <s v="0x22"/>
    <s v="0x5834"/>
    <n v="25902"/>
    <x v="2"/>
    <s v="hPa"/>
  </r>
  <r>
    <x v="1849"/>
    <x v="3"/>
    <s v="0x22"/>
    <s v="0x4411"/>
    <s v="N/A"/>
    <x v="3"/>
    <s v="N/A"/>
  </r>
  <r>
    <x v="1850"/>
    <x v="4"/>
    <s v="0x22"/>
    <s v="0x4205"/>
    <n v="12872"/>
    <x v="541"/>
    <s v="hPa"/>
  </r>
  <r>
    <x v="1851"/>
    <x v="5"/>
    <s v="0x22"/>
    <s v="0x4807"/>
    <n v="2655"/>
    <x v="542"/>
    <s v="rpm"/>
  </r>
  <r>
    <x v="1852"/>
    <x v="6"/>
    <s v="0x22"/>
    <s v="0x5881"/>
    <n v="1"/>
    <x v="6"/>
    <s v="-"/>
  </r>
  <r>
    <x v="1853"/>
    <x v="7"/>
    <s v="0x22"/>
    <s v="0x460c"/>
    <n v="600"/>
    <x v="141"/>
    <s v="V"/>
  </r>
  <r>
    <x v="1854"/>
    <x v="8"/>
    <s v="0x22"/>
    <s v="0x586f"/>
    <n v="2710"/>
    <x v="543"/>
    <s v="hPa"/>
  </r>
  <r>
    <x v="1855"/>
    <x v="9"/>
    <s v="0x22"/>
    <s v="0x5816"/>
    <n v="17"/>
    <x v="21"/>
    <s v="-"/>
  </r>
  <r>
    <x v="1856"/>
    <x v="10"/>
    <s v="0x22"/>
    <s v="0x5889"/>
    <n v="4125"/>
    <x v="45"/>
    <s v="-"/>
  </r>
  <r>
    <x v="1857"/>
    <x v="11"/>
    <s v="0x22"/>
    <s v="0x4ab1"/>
    <s v="N/A"/>
    <x v="3"/>
    <s v="N/A"/>
  </r>
  <r>
    <x v="1858"/>
    <x v="12"/>
    <s v="0x22"/>
    <s v="0x4811"/>
    <s v="N/A"/>
    <x v="3"/>
    <s v="N/A"/>
  </r>
  <r>
    <x v="1859"/>
    <x v="13"/>
    <s v="0x22"/>
    <s v="0x4812"/>
    <s v="N/A"/>
    <x v="3"/>
    <s v="N/A"/>
  </r>
  <r>
    <x v="1860"/>
    <x v="14"/>
    <s v="0x22"/>
    <s v="0x58ef"/>
    <n v="10344"/>
    <x v="544"/>
    <s v="MPa"/>
  </r>
  <r>
    <x v="1861"/>
    <x v="15"/>
    <s v="0x22"/>
    <s v="0x58b7"/>
    <n v="1"/>
    <x v="6"/>
    <s v="hPa"/>
  </r>
  <r>
    <x v="1862"/>
    <x v="16"/>
    <s v="0x22"/>
    <s v="0x5800"/>
    <n v="5049"/>
    <x v="545"/>
    <s v="s"/>
  </r>
  <r>
    <x v="1863"/>
    <x v="17"/>
    <s v="0x22"/>
    <s v="0x580b"/>
    <n v="24074"/>
    <x v="546"/>
    <s v="hPa"/>
  </r>
  <r>
    <x v="1864"/>
    <x v="18"/>
    <s v="0x22"/>
    <s v="0x580f"/>
    <n v="92"/>
    <x v="472"/>
    <s v="degC"/>
  </r>
  <r>
    <x v="1865"/>
    <x v="19"/>
    <s v="0x22"/>
    <s v="0x5818"/>
    <n v="2"/>
    <x v="14"/>
    <s v="kg/hr"/>
  </r>
  <r>
    <x v="1866"/>
    <x v="20"/>
    <s v="0x22"/>
    <s v="0x4521"/>
    <s v="N/A"/>
    <x v="3"/>
    <s v="N/A"/>
  </r>
  <r>
    <x v="1867"/>
    <x v="21"/>
    <s v="0x22"/>
    <s v="0x4abf"/>
    <s v="N/A"/>
    <x v="3"/>
    <s v="N/A"/>
  </r>
  <r>
    <x v="1868"/>
    <x v="22"/>
    <s v="0x22"/>
    <s v="0x4ac0"/>
    <s v="N/A"/>
    <x v="3"/>
    <s v="N/A"/>
  </r>
  <r>
    <x v="1869"/>
    <x v="23"/>
    <s v="0x22"/>
    <s v="0x4522"/>
    <s v="N/A"/>
    <x v="3"/>
    <s v="N/A"/>
  </r>
  <r>
    <x v="1870"/>
    <x v="24"/>
    <s v="0x22"/>
    <s v="0x4403"/>
    <n v="29703"/>
    <x v="547"/>
    <s v="L?"/>
  </r>
  <r>
    <x v="1871"/>
    <x v="25"/>
    <s v="0x22"/>
    <s v="0x4a6c"/>
    <s v="N/A"/>
    <x v="3"/>
    <s v="N/A"/>
  </r>
  <r>
    <x v="1872"/>
    <x v="0"/>
    <s v="0x22"/>
    <s v="0x5822"/>
    <n v="165"/>
    <x v="138"/>
    <s v="degC"/>
  </r>
  <r>
    <x v="1873"/>
    <x v="1"/>
    <s v="0x22"/>
    <s v="0x4300"/>
    <n v="206"/>
    <x v="540"/>
    <s v="degC"/>
  </r>
  <r>
    <x v="1874"/>
    <x v="2"/>
    <s v="0x22"/>
    <s v="0x5834"/>
    <n v="25902"/>
    <x v="2"/>
    <s v="hPa"/>
  </r>
  <r>
    <x v="1875"/>
    <x v="3"/>
    <s v="0x22"/>
    <s v="0x4411"/>
    <s v="N/A"/>
    <x v="3"/>
    <s v="N/A"/>
  </r>
  <r>
    <x v="1876"/>
    <x v="4"/>
    <s v="0x22"/>
    <s v="0x4205"/>
    <n v="12871"/>
    <x v="548"/>
    <s v="hPa"/>
  </r>
  <r>
    <x v="1877"/>
    <x v="5"/>
    <s v="0x22"/>
    <s v="0x4807"/>
    <n v="2731"/>
    <x v="549"/>
    <s v="rpm"/>
  </r>
  <r>
    <x v="1878"/>
    <x v="6"/>
    <s v="0x22"/>
    <s v="0x5881"/>
    <n v="1"/>
    <x v="6"/>
    <s v="-"/>
  </r>
  <r>
    <x v="1879"/>
    <x v="7"/>
    <s v="0x22"/>
    <s v="0x460c"/>
    <s v="N/A"/>
    <x v="3"/>
    <s v="N/A"/>
  </r>
  <r>
    <x v="1880"/>
    <x v="8"/>
    <s v="0x22"/>
    <s v="0x586f"/>
    <s v="N/A"/>
    <x v="3"/>
    <s v="N/A"/>
  </r>
  <r>
    <x v="1881"/>
    <x v="9"/>
    <s v="0x22"/>
    <s v="0x5816"/>
    <s v="N/A"/>
    <x v="3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96695-2978-F440-8FF3-DA0A879DCB82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50" firstHeaderRow="1" firstDataRow="1" firstDataCol="1" rowPageCount="1" colPageCount="1"/>
  <pivotFields count="7">
    <pivotField axis="axisRow" showAll="0">
      <items count="18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t="default"/>
      </items>
    </pivotField>
    <pivotField axis="axisPage" multipleItemSelectionAllowed="1" showAll="0">
      <items count="27">
        <item h="1" x="13"/>
        <item h="1" x="12"/>
        <item h="1" x="19"/>
        <item x="2"/>
        <item h="1" x="7"/>
        <item x="4"/>
        <item h="1" x="15"/>
        <item h="1" x="1"/>
        <item h="1" x="5"/>
        <item h="1" x="21"/>
        <item h="1" x="22"/>
        <item h="1" x="24"/>
        <item h="1" x="25"/>
        <item h="1" x="20"/>
        <item h="1" x="23"/>
        <item h="1" x="14"/>
        <item h="1" x="6"/>
        <item h="1" x="18"/>
        <item h="1" x="10"/>
        <item h="1" x="9"/>
        <item h="1" x="17"/>
        <item h="1" x="8"/>
        <item h="1" x="0"/>
        <item h="1" x="3"/>
        <item h="1" x="11"/>
        <item h="1" x="16"/>
        <item t="default"/>
      </items>
    </pivotField>
    <pivotField showAll="0"/>
    <pivotField showAll="0"/>
    <pivotField showAll="0"/>
    <pivotField dataField="1" showAll="0">
      <items count="551">
        <item x="21"/>
        <item x="348"/>
        <item x="504"/>
        <item x="496"/>
        <item x="87"/>
        <item x="144"/>
        <item x="143"/>
        <item x="98"/>
        <item x="99"/>
        <item x="35"/>
        <item x="34"/>
        <item x="108"/>
        <item x="154"/>
        <item x="133"/>
        <item x="281"/>
        <item x="9"/>
        <item x="6"/>
        <item x="45"/>
        <item x="290"/>
        <item x="22"/>
        <item x="289"/>
        <item x="259"/>
        <item x="258"/>
        <item x="153"/>
        <item x="387"/>
        <item x="272"/>
        <item x="378"/>
        <item x="74"/>
        <item x="305"/>
        <item x="73"/>
        <item x="179"/>
        <item x="43"/>
        <item x="161"/>
        <item x="162"/>
        <item x="349"/>
        <item x="355"/>
        <item x="306"/>
        <item x="95"/>
        <item x="15"/>
        <item x="28"/>
        <item x="80"/>
        <item x="104"/>
        <item x="128"/>
        <item x="149"/>
        <item x="167"/>
        <item x="183"/>
        <item x="171"/>
        <item x="277"/>
        <item x="295"/>
        <item x="316"/>
        <item x="336"/>
        <item x="343"/>
        <item x="366"/>
        <item x="373"/>
        <item x="383"/>
        <item x="391"/>
        <item x="398"/>
        <item x="407"/>
        <item x="415"/>
        <item x="422"/>
        <item x="429"/>
        <item x="440"/>
        <item x="447"/>
        <item x="460"/>
        <item x="473"/>
        <item x="487"/>
        <item x="508"/>
        <item x="518"/>
        <item x="547"/>
        <item x="411"/>
        <item x="84"/>
        <item x="310"/>
        <item x="451"/>
        <item x="23"/>
        <item x="10"/>
        <item x="515"/>
        <item x="46"/>
        <item x="235"/>
        <item x="525"/>
        <item x="88"/>
        <item x="266"/>
        <item x="464"/>
        <item x="240"/>
        <item x="260"/>
        <item x="432"/>
        <item x="307"/>
        <item x="75"/>
        <item x="333"/>
        <item x="521"/>
        <item x="544"/>
        <item x="187"/>
        <item x="134"/>
        <item x="117"/>
        <item x="247"/>
        <item x="54"/>
        <item x="282"/>
        <item x="299"/>
        <item x="212"/>
        <item x="226"/>
        <item x="490"/>
        <item x="532"/>
        <item x="497"/>
        <item x="481"/>
        <item x="125"/>
        <item x="163"/>
        <item x="219"/>
        <item x="356"/>
        <item x="36"/>
        <item x="198"/>
        <item x="62"/>
        <item x="100"/>
        <item x="505"/>
        <item x="192"/>
        <item x="357"/>
        <item x="109"/>
        <item x="443"/>
        <item x="484"/>
        <item x="388"/>
        <item x="469"/>
        <item x="320"/>
        <item x="291"/>
        <item x="241"/>
        <item x="426"/>
        <item x="313"/>
        <item x="145"/>
        <item x="512"/>
        <item x="172"/>
        <item x="14"/>
        <item x="11"/>
        <item x="420"/>
        <item x="395"/>
        <item x="438"/>
        <item x="227"/>
        <item x="273"/>
        <item x="379"/>
        <item x="403"/>
        <item x="340"/>
        <item x="364"/>
        <item x="327"/>
        <item x="27"/>
        <item x="7"/>
        <item x="19"/>
        <item x="450"/>
        <item x="530"/>
        <item x="245"/>
        <item x="331"/>
        <item x="141"/>
        <item x="85"/>
        <item x="96"/>
        <item x="52"/>
        <item x="252"/>
        <item x="71"/>
        <item x="401"/>
        <item x="60"/>
        <item x="32"/>
        <item x="463"/>
        <item x="24"/>
        <item x="205"/>
        <item x="66"/>
        <item x="182"/>
        <item x="500"/>
        <item x="472"/>
        <item x="446"/>
        <item x="37"/>
        <item x="285"/>
        <item x="148"/>
        <item x="230"/>
        <item x="221"/>
        <item x="201"/>
        <item x="175"/>
        <item x="137"/>
        <item x="294"/>
        <item x="120"/>
        <item x="47"/>
        <item x="112"/>
        <item x="103"/>
        <item x="414"/>
        <item x="91"/>
        <item x="78"/>
        <item x="65"/>
        <item x="49"/>
        <item x="39"/>
        <item x="79"/>
        <item x="55"/>
        <item x="26"/>
        <item x="13"/>
        <item x="166"/>
        <item x="63"/>
        <item x="76"/>
        <item x="157"/>
        <item x="89"/>
        <item x="113"/>
        <item x="101"/>
        <item x="110"/>
        <item x="118"/>
        <item x="459"/>
        <item x="286"/>
        <item x="126"/>
        <item x="276"/>
        <item x="29"/>
        <item x="135"/>
        <item x="40"/>
        <item x="360"/>
        <item x="50"/>
        <item x="16"/>
        <item x="57"/>
        <item x="367"/>
        <item x="68"/>
        <item x="81"/>
        <item x="374"/>
        <item x="146"/>
        <item x="92"/>
        <item x="67"/>
        <item x="416"/>
        <item x="0"/>
        <item x="1"/>
        <item x="194"/>
        <item x="121"/>
        <item x="344"/>
        <item x="129"/>
        <item x="138"/>
        <item x="150"/>
        <item x="540"/>
        <item x="155"/>
        <item x="164"/>
        <item x="173"/>
        <item x="180"/>
        <item x="188"/>
        <item x="193"/>
        <item x="199"/>
        <item x="206"/>
        <item x="213"/>
        <item x="220"/>
        <item x="228"/>
        <item x="236"/>
        <item x="406"/>
        <item x="242"/>
        <item x="248"/>
        <item x="254"/>
        <item x="261"/>
        <item x="267"/>
        <item x="274"/>
        <item x="283"/>
        <item x="292"/>
        <item x="300"/>
        <item x="308"/>
        <item x="314"/>
        <item x="321"/>
        <item x="328"/>
        <item x="334"/>
        <item x="341"/>
        <item x="350"/>
        <item x="358"/>
        <item x="365"/>
        <item x="371"/>
        <item x="380"/>
        <item x="389"/>
        <item x="396"/>
        <item x="404"/>
        <item x="412"/>
        <item x="421"/>
        <item x="427"/>
        <item x="433"/>
        <item x="382"/>
        <item x="439"/>
        <item x="444"/>
        <item x="452"/>
        <item x="457"/>
        <item x="465"/>
        <item x="470"/>
        <item x="477"/>
        <item x="482"/>
        <item x="485"/>
        <item x="491"/>
        <item x="498"/>
        <item x="506"/>
        <item x="513"/>
        <item x="516"/>
        <item x="522"/>
        <item x="526"/>
        <item x="533"/>
        <item x="538"/>
        <item x="545"/>
        <item x="18"/>
        <item x="542"/>
        <item x="549"/>
        <item x="51"/>
        <item x="5"/>
        <item x="31"/>
        <item x="244"/>
        <item x="59"/>
        <item x="536"/>
        <item x="238"/>
        <item x="251"/>
        <item x="42"/>
        <item x="311"/>
        <item x="123"/>
        <item x="458"/>
        <item x="527"/>
        <item x="140"/>
        <item x="127"/>
        <item x="539"/>
        <item x="12"/>
        <item x="466"/>
        <item x="546"/>
        <item x="475"/>
        <item x="534"/>
        <item x="200"/>
        <item x="517"/>
        <item x="478"/>
        <item x="56"/>
        <item x="428"/>
        <item x="486"/>
        <item x="189"/>
        <item x="499"/>
        <item x="434"/>
        <item x="147"/>
        <item x="165"/>
        <item x="181"/>
        <item x="64"/>
        <item x="237"/>
        <item x="136"/>
        <item x="48"/>
        <item x="111"/>
        <item x="453"/>
        <item x="174"/>
        <item x="77"/>
        <item x="119"/>
        <item x="492"/>
        <item x="214"/>
        <item x="507"/>
        <item x="229"/>
        <item x="249"/>
        <item x="102"/>
        <item x="207"/>
        <item x="413"/>
        <item x="38"/>
        <item x="523"/>
        <item x="25"/>
        <item x="315"/>
        <item x="309"/>
        <item x="284"/>
        <item x="335"/>
        <item x="293"/>
        <item x="397"/>
        <item x="329"/>
        <item x="390"/>
        <item x="471"/>
        <item x="359"/>
        <item x="301"/>
        <item x="322"/>
        <item x="262"/>
        <item x="372"/>
        <item x="445"/>
        <item x="90"/>
        <item x="268"/>
        <item x="106"/>
        <item x="275"/>
        <item x="351"/>
        <item x="156"/>
        <item x="528"/>
        <item x="69"/>
        <item x="41"/>
        <item x="548"/>
        <item x="541"/>
        <item x="4"/>
        <item x="17"/>
        <item x="535"/>
        <item x="30"/>
        <item x="82"/>
        <item x="58"/>
        <item x="139"/>
        <item x="501"/>
        <item x="190"/>
        <item x="243"/>
        <item x="435"/>
        <item x="2"/>
        <item x="250"/>
        <item x="208"/>
        <item x="215"/>
        <item x="105"/>
        <item x="184"/>
        <item x="222"/>
        <item x="231"/>
        <item x="474"/>
        <item x="493"/>
        <item x="151"/>
        <item x="255"/>
        <item x="122"/>
        <item x="269"/>
        <item x="509"/>
        <item x="323"/>
        <item x="454"/>
        <item x="436"/>
        <item x="202"/>
        <item x="93"/>
        <item x="158"/>
        <item x="195"/>
        <item x="152"/>
        <item x="302"/>
        <item x="232"/>
        <item x="296"/>
        <item x="263"/>
        <item x="423"/>
        <item x="114"/>
        <item x="130"/>
        <item x="209"/>
        <item x="375"/>
        <item x="324"/>
        <item x="287"/>
        <item x="223"/>
        <item x="399"/>
        <item x="461"/>
        <item x="216"/>
        <item x="168"/>
        <item x="278"/>
        <item x="392"/>
        <item x="352"/>
        <item x="176"/>
        <item x="384"/>
        <item x="317"/>
        <item x="337"/>
        <item x="368"/>
        <item x="345"/>
        <item x="483"/>
        <item x="502"/>
        <item x="330"/>
        <item x="417"/>
        <item x="405"/>
        <item x="455"/>
        <item x="256"/>
        <item x="519"/>
        <item x="524"/>
        <item x="361"/>
        <item x="448"/>
        <item x="70"/>
        <item x="233"/>
        <item x="203"/>
        <item x="83"/>
        <item x="159"/>
        <item x="185"/>
        <item x="467"/>
        <item x="488"/>
        <item x="494"/>
        <item x="430"/>
        <item x="441"/>
        <item x="529"/>
        <item x="177"/>
        <item x="338"/>
        <item x="510"/>
        <item x="94"/>
        <item x="264"/>
        <item x="381"/>
        <item x="408"/>
        <item x="462"/>
        <item x="279"/>
        <item x="342"/>
        <item x="303"/>
        <item x="424"/>
        <item x="288"/>
        <item x="169"/>
        <item x="196"/>
        <item x="479"/>
        <item x="270"/>
        <item x="210"/>
        <item x="297"/>
        <item x="224"/>
        <item x="131"/>
        <item x="115"/>
        <item x="318"/>
        <item x="353"/>
        <item x="325"/>
        <item x="393"/>
        <item x="217"/>
        <item x="191"/>
        <item x="418"/>
        <item x="312"/>
        <item x="514"/>
        <item x="20"/>
        <item x="253"/>
        <item x="376"/>
        <item x="511"/>
        <item x="449"/>
        <item x="33"/>
        <item x="543"/>
        <item x="354"/>
        <item x="186"/>
        <item x="53"/>
        <item x="400"/>
        <item x="537"/>
        <item x="369"/>
        <item x="61"/>
        <item x="476"/>
        <item x="72"/>
        <item x="489"/>
        <item x="132"/>
        <item x="332"/>
        <item x="280"/>
        <item x="44"/>
        <item x="326"/>
        <item x="160"/>
        <item x="385"/>
        <item x="211"/>
        <item x="319"/>
        <item x="265"/>
        <item x="116"/>
        <item x="204"/>
        <item x="142"/>
        <item x="239"/>
        <item x="362"/>
        <item x="520"/>
        <item x="107"/>
        <item x="8"/>
        <item x="197"/>
        <item x="402"/>
        <item x="425"/>
        <item x="218"/>
        <item x="225"/>
        <item x="234"/>
        <item x="437"/>
        <item x="170"/>
        <item x="431"/>
        <item x="346"/>
        <item x="124"/>
        <item x="503"/>
        <item x="304"/>
        <item x="246"/>
        <item x="480"/>
        <item x="419"/>
        <item x="178"/>
        <item x="495"/>
        <item x="370"/>
        <item x="86"/>
        <item x="298"/>
        <item x="347"/>
        <item x="531"/>
        <item x="271"/>
        <item x="468"/>
        <item x="257"/>
        <item x="377"/>
        <item x="97"/>
        <item x="456"/>
        <item x="363"/>
        <item x="409"/>
        <item x="442"/>
        <item x="394"/>
        <item x="386"/>
        <item x="339"/>
        <item x="410"/>
        <item x="3"/>
        <item t="default"/>
      </items>
    </pivotField>
    <pivotField showAll="0"/>
  </pivotFields>
  <rowFields count="1">
    <field x="0"/>
  </rowFields>
  <rowItems count="147">
    <i>
      <x v="2"/>
    </i>
    <i>
      <x v="4"/>
    </i>
    <i>
      <x v="28"/>
    </i>
    <i>
      <x v="30"/>
    </i>
    <i>
      <x v="54"/>
    </i>
    <i>
      <x v="56"/>
    </i>
    <i>
      <x v="80"/>
    </i>
    <i>
      <x v="82"/>
    </i>
    <i>
      <x v="106"/>
    </i>
    <i>
      <x v="108"/>
    </i>
    <i>
      <x v="132"/>
    </i>
    <i>
      <x v="134"/>
    </i>
    <i>
      <x v="158"/>
    </i>
    <i>
      <x v="160"/>
    </i>
    <i>
      <x v="184"/>
    </i>
    <i>
      <x v="186"/>
    </i>
    <i>
      <x v="210"/>
    </i>
    <i>
      <x v="212"/>
    </i>
    <i>
      <x v="236"/>
    </i>
    <i>
      <x v="238"/>
    </i>
    <i>
      <x v="262"/>
    </i>
    <i>
      <x v="264"/>
    </i>
    <i>
      <x v="288"/>
    </i>
    <i>
      <x v="290"/>
    </i>
    <i>
      <x v="314"/>
    </i>
    <i>
      <x v="316"/>
    </i>
    <i>
      <x v="340"/>
    </i>
    <i>
      <x v="342"/>
    </i>
    <i>
      <x v="366"/>
    </i>
    <i>
      <x v="368"/>
    </i>
    <i>
      <x v="392"/>
    </i>
    <i>
      <x v="394"/>
    </i>
    <i>
      <x v="418"/>
    </i>
    <i>
      <x v="420"/>
    </i>
    <i>
      <x v="444"/>
    </i>
    <i>
      <x v="446"/>
    </i>
    <i>
      <x v="470"/>
    </i>
    <i>
      <x v="472"/>
    </i>
    <i>
      <x v="496"/>
    </i>
    <i>
      <x v="498"/>
    </i>
    <i>
      <x v="522"/>
    </i>
    <i>
      <x v="524"/>
    </i>
    <i>
      <x v="548"/>
    </i>
    <i>
      <x v="550"/>
    </i>
    <i>
      <x v="574"/>
    </i>
    <i>
      <x v="576"/>
    </i>
    <i>
      <x v="600"/>
    </i>
    <i>
      <x v="602"/>
    </i>
    <i>
      <x v="626"/>
    </i>
    <i>
      <x v="628"/>
    </i>
    <i>
      <x v="652"/>
    </i>
    <i>
      <x v="654"/>
    </i>
    <i>
      <x v="678"/>
    </i>
    <i>
      <x v="680"/>
    </i>
    <i>
      <x v="704"/>
    </i>
    <i>
      <x v="706"/>
    </i>
    <i>
      <x v="730"/>
    </i>
    <i>
      <x v="732"/>
    </i>
    <i>
      <x v="756"/>
    </i>
    <i>
      <x v="758"/>
    </i>
    <i>
      <x v="782"/>
    </i>
    <i>
      <x v="784"/>
    </i>
    <i>
      <x v="808"/>
    </i>
    <i>
      <x v="810"/>
    </i>
    <i>
      <x v="834"/>
    </i>
    <i>
      <x v="836"/>
    </i>
    <i>
      <x v="860"/>
    </i>
    <i>
      <x v="862"/>
    </i>
    <i>
      <x v="886"/>
    </i>
    <i>
      <x v="888"/>
    </i>
    <i>
      <x v="912"/>
    </i>
    <i>
      <x v="914"/>
    </i>
    <i>
      <x v="938"/>
    </i>
    <i>
      <x v="940"/>
    </i>
    <i>
      <x v="964"/>
    </i>
    <i>
      <x v="966"/>
    </i>
    <i>
      <x v="990"/>
    </i>
    <i>
      <x v="992"/>
    </i>
    <i>
      <x v="1016"/>
    </i>
    <i>
      <x v="1018"/>
    </i>
    <i>
      <x v="1042"/>
    </i>
    <i>
      <x v="1044"/>
    </i>
    <i>
      <x v="1068"/>
    </i>
    <i>
      <x v="1070"/>
    </i>
    <i>
      <x v="1094"/>
    </i>
    <i>
      <x v="1096"/>
    </i>
    <i>
      <x v="1120"/>
    </i>
    <i>
      <x v="1122"/>
    </i>
    <i>
      <x v="1146"/>
    </i>
    <i>
      <x v="1148"/>
    </i>
    <i>
      <x v="1172"/>
    </i>
    <i>
      <x v="1174"/>
    </i>
    <i>
      <x v="1198"/>
    </i>
    <i>
      <x v="1200"/>
    </i>
    <i>
      <x v="1224"/>
    </i>
    <i>
      <x v="1226"/>
    </i>
    <i>
      <x v="1250"/>
    </i>
    <i>
      <x v="1252"/>
    </i>
    <i>
      <x v="1276"/>
    </i>
    <i>
      <x v="1278"/>
    </i>
    <i>
      <x v="1302"/>
    </i>
    <i>
      <x v="1304"/>
    </i>
    <i>
      <x v="1328"/>
    </i>
    <i>
      <x v="1330"/>
    </i>
    <i>
      <x v="1354"/>
    </i>
    <i>
      <x v="1356"/>
    </i>
    <i>
      <x v="1380"/>
    </i>
    <i>
      <x v="1382"/>
    </i>
    <i>
      <x v="1406"/>
    </i>
    <i>
      <x v="1408"/>
    </i>
    <i>
      <x v="1432"/>
    </i>
    <i>
      <x v="1434"/>
    </i>
    <i>
      <x v="1458"/>
    </i>
    <i>
      <x v="1460"/>
    </i>
    <i>
      <x v="1484"/>
    </i>
    <i>
      <x v="1486"/>
    </i>
    <i>
      <x v="1510"/>
    </i>
    <i>
      <x v="1512"/>
    </i>
    <i>
      <x v="1536"/>
    </i>
    <i>
      <x v="1538"/>
    </i>
    <i>
      <x v="1562"/>
    </i>
    <i>
      <x v="1564"/>
    </i>
    <i>
      <x v="1588"/>
    </i>
    <i>
      <x v="1590"/>
    </i>
    <i>
      <x v="1614"/>
    </i>
    <i>
      <x v="1616"/>
    </i>
    <i>
      <x v="1640"/>
    </i>
    <i>
      <x v="1642"/>
    </i>
    <i>
      <x v="1666"/>
    </i>
    <i>
      <x v="1668"/>
    </i>
    <i>
      <x v="1692"/>
    </i>
    <i>
      <x v="1694"/>
    </i>
    <i>
      <x v="1718"/>
    </i>
    <i>
      <x v="1720"/>
    </i>
    <i>
      <x v="1744"/>
    </i>
    <i>
      <x v="1746"/>
    </i>
    <i>
      <x v="1770"/>
    </i>
    <i>
      <x v="1772"/>
    </i>
    <i>
      <x v="1796"/>
    </i>
    <i>
      <x v="1798"/>
    </i>
    <i>
      <x v="1822"/>
    </i>
    <i>
      <x v="1824"/>
    </i>
    <i>
      <x v="1848"/>
    </i>
    <i>
      <x v="1850"/>
    </i>
    <i>
      <x v="1874"/>
    </i>
    <i>
      <x v="1876"/>
    </i>
    <i t="grand">
      <x/>
    </i>
  </rowItems>
  <colItems count="1">
    <i/>
  </colItems>
  <pageFields count="1">
    <pageField fld="1" hier="-1"/>
  </pageFields>
  <dataFields count="1">
    <dataField name="Average of proc_value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B6A5-7DDF-A140-B62D-C9497F4EEEA9}">
  <dimension ref="A1:B150"/>
  <sheetViews>
    <sheetView tabSelected="1" workbookViewId="0">
      <selection activeCell="B1" sqref="B1"/>
    </sheetView>
  </sheetViews>
  <sheetFormatPr baseColWidth="10" defaultRowHeight="16" x14ac:dyDescent="0.2"/>
  <cols>
    <col min="1" max="1" width="13" bestFit="1" customWidth="1"/>
    <col min="2" max="2" width="19.83203125" bestFit="1" customWidth="1"/>
    <col min="3" max="3" width="17.6640625" bestFit="1" customWidth="1"/>
    <col min="4" max="8" width="6.1640625" bestFit="1" customWidth="1"/>
    <col min="9" max="71" width="7.1640625" bestFit="1" customWidth="1"/>
    <col min="72" max="73" width="8.1640625" bestFit="1" customWidth="1"/>
    <col min="74" max="74" width="7.6640625" bestFit="1" customWidth="1"/>
    <col min="75" max="75" width="10.83203125" bestFit="1" customWidth="1"/>
    <col min="76" max="146" width="17.6640625" bestFit="1" customWidth="1"/>
    <col min="147" max="147" width="22.5" bestFit="1" customWidth="1"/>
    <col min="148" max="148" width="18.83203125" bestFit="1" customWidth="1"/>
  </cols>
  <sheetData>
    <row r="1" spans="1:2" x14ac:dyDescent="0.2">
      <c r="A1" s="2" t="s">
        <v>1</v>
      </c>
      <c r="B1" t="s">
        <v>72</v>
      </c>
    </row>
    <row r="3" spans="1:2" x14ac:dyDescent="0.2">
      <c r="A3" s="2" t="s">
        <v>70</v>
      </c>
      <c r="B3" t="s">
        <v>73</v>
      </c>
    </row>
    <row r="4" spans="1:2" x14ac:dyDescent="0.2">
      <c r="A4" s="3">
        <v>38866</v>
      </c>
      <c r="B4" s="1">
        <v>1011.8</v>
      </c>
    </row>
    <row r="5" spans="1:2" x14ac:dyDescent="0.2">
      <c r="A5" s="3">
        <v>39460</v>
      </c>
      <c r="B5" s="1">
        <v>1006.02</v>
      </c>
    </row>
    <row r="6" spans="1:2" x14ac:dyDescent="0.2">
      <c r="A6" s="3">
        <v>45900</v>
      </c>
      <c r="B6" s="1">
        <v>1011.8</v>
      </c>
    </row>
    <row r="7" spans="1:2" x14ac:dyDescent="0.2">
      <c r="A7" s="3">
        <v>46494</v>
      </c>
      <c r="B7" s="1">
        <v>1006.09</v>
      </c>
    </row>
    <row r="8" spans="1:2" x14ac:dyDescent="0.2">
      <c r="A8" s="3">
        <v>52993</v>
      </c>
      <c r="B8" s="1">
        <v>1011.8</v>
      </c>
    </row>
    <row r="9" spans="1:2" x14ac:dyDescent="0.2">
      <c r="A9" s="3">
        <v>53597</v>
      </c>
      <c r="B9" s="1">
        <v>1008.75</v>
      </c>
    </row>
    <row r="10" spans="1:2" x14ac:dyDescent="0.2">
      <c r="A10" s="3">
        <v>59945</v>
      </c>
      <c r="B10" s="1">
        <v>1011.8</v>
      </c>
    </row>
    <row r="11" spans="1:2" x14ac:dyDescent="0.2">
      <c r="A11" s="3">
        <v>60529</v>
      </c>
      <c r="B11" s="1">
        <v>1004.77</v>
      </c>
    </row>
    <row r="12" spans="1:2" x14ac:dyDescent="0.2">
      <c r="A12" s="3">
        <v>67018</v>
      </c>
      <c r="B12" s="1">
        <v>1011.8</v>
      </c>
    </row>
    <row r="13" spans="1:2" x14ac:dyDescent="0.2">
      <c r="A13" s="3">
        <v>67622</v>
      </c>
      <c r="B13" s="1">
        <v>1006.09</v>
      </c>
    </row>
    <row r="14" spans="1:2" x14ac:dyDescent="0.2">
      <c r="A14" s="3">
        <v>74092</v>
      </c>
      <c r="B14" s="1">
        <v>1011.8</v>
      </c>
    </row>
    <row r="15" spans="1:2" x14ac:dyDescent="0.2">
      <c r="A15" s="3">
        <v>74697</v>
      </c>
      <c r="B15" s="1">
        <v>1009.77</v>
      </c>
    </row>
    <row r="16" spans="1:2" x14ac:dyDescent="0.2">
      <c r="A16" s="3">
        <v>81124</v>
      </c>
      <c r="B16" s="1">
        <v>1011.8</v>
      </c>
    </row>
    <row r="17" spans="1:2" x14ac:dyDescent="0.2">
      <c r="A17" s="3">
        <v>81728</v>
      </c>
      <c r="B17" s="1">
        <v>1004.45</v>
      </c>
    </row>
    <row r="18" spans="1:2" x14ac:dyDescent="0.2">
      <c r="A18" s="3">
        <v>88139</v>
      </c>
      <c r="B18" s="1">
        <v>1011.8</v>
      </c>
    </row>
    <row r="19" spans="1:2" x14ac:dyDescent="0.2">
      <c r="A19" s="3">
        <v>88723</v>
      </c>
      <c r="B19" s="1">
        <v>1008.83</v>
      </c>
    </row>
    <row r="20" spans="1:2" x14ac:dyDescent="0.2">
      <c r="A20" s="3">
        <v>95102</v>
      </c>
      <c r="B20" s="1">
        <v>1011.8</v>
      </c>
    </row>
    <row r="21" spans="1:2" x14ac:dyDescent="0.2">
      <c r="A21" s="3">
        <v>95696</v>
      </c>
      <c r="B21" s="1">
        <v>1022.89</v>
      </c>
    </row>
    <row r="22" spans="1:2" x14ac:dyDescent="0.2">
      <c r="A22" s="3">
        <v>102057</v>
      </c>
      <c r="B22" s="1">
        <v>1011.8</v>
      </c>
    </row>
    <row r="23" spans="1:2" x14ac:dyDescent="0.2">
      <c r="A23" s="3">
        <v>102651</v>
      </c>
      <c r="B23" s="1">
        <v>1014.45</v>
      </c>
    </row>
    <row r="24" spans="1:2" x14ac:dyDescent="0.2">
      <c r="A24" s="3">
        <v>109041</v>
      </c>
      <c r="B24" s="1">
        <v>1011.8</v>
      </c>
    </row>
    <row r="25" spans="1:2" x14ac:dyDescent="0.2">
      <c r="A25" s="3">
        <v>109635</v>
      </c>
      <c r="B25" s="1">
        <v>1035.78</v>
      </c>
    </row>
    <row r="26" spans="1:2" x14ac:dyDescent="0.2">
      <c r="A26" s="3">
        <v>116155</v>
      </c>
      <c r="B26" s="1">
        <v>1011.8</v>
      </c>
    </row>
    <row r="27" spans="1:2" x14ac:dyDescent="0.2">
      <c r="A27" s="3">
        <v>116759</v>
      </c>
      <c r="B27" s="1">
        <v>1018.36</v>
      </c>
    </row>
    <row r="28" spans="1:2" x14ac:dyDescent="0.2">
      <c r="A28" s="3">
        <v>123336</v>
      </c>
      <c r="B28" s="1">
        <v>1011.8</v>
      </c>
    </row>
    <row r="29" spans="1:2" x14ac:dyDescent="0.2">
      <c r="A29" s="3">
        <v>123930</v>
      </c>
      <c r="B29" s="1">
        <v>1036.72</v>
      </c>
    </row>
    <row r="30" spans="1:2" x14ac:dyDescent="0.2">
      <c r="A30" s="3">
        <v>130281</v>
      </c>
      <c r="B30" s="1">
        <v>1011.8</v>
      </c>
    </row>
    <row r="31" spans="1:2" x14ac:dyDescent="0.2">
      <c r="A31" s="3">
        <v>130865</v>
      </c>
      <c r="B31" s="1">
        <v>1010</v>
      </c>
    </row>
    <row r="32" spans="1:2" x14ac:dyDescent="0.2">
      <c r="A32" s="3">
        <v>137333</v>
      </c>
      <c r="B32" s="1">
        <v>1011.8</v>
      </c>
    </row>
    <row r="33" spans="1:2" x14ac:dyDescent="0.2">
      <c r="A33" s="3">
        <v>137986</v>
      </c>
      <c r="B33" s="1">
        <v>1017.89</v>
      </c>
    </row>
    <row r="34" spans="1:2" x14ac:dyDescent="0.2">
      <c r="A34" s="3">
        <v>144506</v>
      </c>
      <c r="B34" s="1">
        <v>1011.8</v>
      </c>
    </row>
    <row r="35" spans="1:2" x14ac:dyDescent="0.2">
      <c r="A35" s="3">
        <v>145091</v>
      </c>
      <c r="B35" s="1">
        <v>1025.7</v>
      </c>
    </row>
    <row r="36" spans="1:2" x14ac:dyDescent="0.2">
      <c r="A36" s="3">
        <v>151500</v>
      </c>
      <c r="B36" s="1">
        <v>1011.8</v>
      </c>
    </row>
    <row r="37" spans="1:2" x14ac:dyDescent="0.2">
      <c r="A37" s="3">
        <v>152104</v>
      </c>
      <c r="B37" s="1">
        <v>1049.06</v>
      </c>
    </row>
    <row r="38" spans="1:2" x14ac:dyDescent="0.2">
      <c r="A38" s="3">
        <v>158453</v>
      </c>
      <c r="B38" s="1">
        <v>1011.8</v>
      </c>
    </row>
    <row r="39" spans="1:2" x14ac:dyDescent="0.2">
      <c r="A39" s="3">
        <v>159047</v>
      </c>
      <c r="B39" s="1">
        <v>1057.6600000000001</v>
      </c>
    </row>
    <row r="40" spans="1:2" x14ac:dyDescent="0.2">
      <c r="A40" s="3">
        <v>165426</v>
      </c>
      <c r="B40" s="1">
        <v>1011.8</v>
      </c>
    </row>
    <row r="41" spans="1:2" x14ac:dyDescent="0.2">
      <c r="A41" s="3">
        <v>166010</v>
      </c>
      <c r="B41" s="1">
        <v>1014.69</v>
      </c>
    </row>
    <row r="42" spans="1:2" x14ac:dyDescent="0.2">
      <c r="A42" s="3">
        <v>172389</v>
      </c>
      <c r="B42" s="1">
        <v>1011.8</v>
      </c>
    </row>
    <row r="43" spans="1:2" x14ac:dyDescent="0.2">
      <c r="A43" s="3">
        <v>172983</v>
      </c>
      <c r="B43" s="1">
        <v>1010.23</v>
      </c>
    </row>
    <row r="44" spans="1:2" x14ac:dyDescent="0.2">
      <c r="A44" s="3">
        <v>179402</v>
      </c>
      <c r="B44" s="1">
        <v>1011.8</v>
      </c>
    </row>
    <row r="45" spans="1:2" x14ac:dyDescent="0.2">
      <c r="A45" s="3">
        <v>179996</v>
      </c>
      <c r="B45" s="1">
        <v>1028.52</v>
      </c>
    </row>
    <row r="46" spans="1:2" x14ac:dyDescent="0.2">
      <c r="A46" s="3">
        <v>186356</v>
      </c>
      <c r="B46" s="1">
        <v>1011.8</v>
      </c>
    </row>
    <row r="47" spans="1:2" x14ac:dyDescent="0.2">
      <c r="A47" s="3">
        <v>186940</v>
      </c>
      <c r="B47" s="1">
        <v>1022.27</v>
      </c>
    </row>
    <row r="48" spans="1:2" x14ac:dyDescent="0.2">
      <c r="A48" s="3">
        <v>193271</v>
      </c>
      <c r="B48" s="1">
        <v>1013.05</v>
      </c>
    </row>
    <row r="49" spans="1:2" x14ac:dyDescent="0.2">
      <c r="A49" s="3">
        <v>193865</v>
      </c>
      <c r="B49" s="1">
        <v>1038.3599999999999</v>
      </c>
    </row>
    <row r="50" spans="1:2" x14ac:dyDescent="0.2">
      <c r="A50" s="3">
        <v>200214</v>
      </c>
      <c r="B50" s="1">
        <v>1014.26</v>
      </c>
    </row>
    <row r="51" spans="1:2" x14ac:dyDescent="0.2">
      <c r="A51" s="3">
        <v>200808</v>
      </c>
      <c r="B51" s="1">
        <v>1048.52</v>
      </c>
    </row>
    <row r="52" spans="1:2" x14ac:dyDescent="0.2">
      <c r="A52" s="3">
        <v>207167</v>
      </c>
      <c r="B52" s="1">
        <v>1015.51</v>
      </c>
    </row>
    <row r="53" spans="1:2" x14ac:dyDescent="0.2">
      <c r="A53" s="3">
        <v>207751</v>
      </c>
      <c r="B53" s="1">
        <v>1045.7</v>
      </c>
    </row>
    <row r="54" spans="1:2" x14ac:dyDescent="0.2">
      <c r="A54" s="3">
        <v>214099</v>
      </c>
      <c r="B54" s="1">
        <v>1016.76</v>
      </c>
    </row>
    <row r="55" spans="1:2" x14ac:dyDescent="0.2">
      <c r="A55" s="3">
        <v>214694</v>
      </c>
      <c r="B55" s="1">
        <v>1031.56</v>
      </c>
    </row>
    <row r="56" spans="1:2" x14ac:dyDescent="0.2">
      <c r="A56" s="3">
        <v>221052</v>
      </c>
      <c r="B56" s="1">
        <v>1016.76</v>
      </c>
    </row>
    <row r="57" spans="1:2" x14ac:dyDescent="0.2">
      <c r="A57" s="3">
        <v>221646</v>
      </c>
      <c r="B57" s="1">
        <v>1014.45</v>
      </c>
    </row>
    <row r="58" spans="1:2" x14ac:dyDescent="0.2">
      <c r="A58" s="3">
        <v>227987</v>
      </c>
      <c r="B58" s="1">
        <v>1016.76</v>
      </c>
    </row>
    <row r="59" spans="1:2" x14ac:dyDescent="0.2">
      <c r="A59" s="3">
        <v>228582</v>
      </c>
      <c r="B59" s="1">
        <v>1011.48</v>
      </c>
    </row>
    <row r="60" spans="1:2" x14ac:dyDescent="0.2">
      <c r="A60" s="3">
        <v>234930</v>
      </c>
      <c r="B60" s="1">
        <v>1016.76</v>
      </c>
    </row>
    <row r="61" spans="1:2" x14ac:dyDescent="0.2">
      <c r="A61" s="3">
        <v>235514</v>
      </c>
      <c r="B61" s="1">
        <v>1012.5</v>
      </c>
    </row>
    <row r="62" spans="1:2" x14ac:dyDescent="0.2">
      <c r="A62" s="3">
        <v>241873</v>
      </c>
      <c r="B62" s="1">
        <v>1017.97</v>
      </c>
    </row>
    <row r="63" spans="1:2" x14ac:dyDescent="0.2">
      <c r="A63" s="3">
        <v>242467</v>
      </c>
      <c r="B63" s="1">
        <v>1022.89</v>
      </c>
    </row>
    <row r="64" spans="1:2" x14ac:dyDescent="0.2">
      <c r="A64" s="3">
        <v>248858</v>
      </c>
      <c r="B64" s="1">
        <v>1017.97</v>
      </c>
    </row>
    <row r="65" spans="1:2" x14ac:dyDescent="0.2">
      <c r="A65" s="3">
        <v>249442</v>
      </c>
      <c r="B65" s="1">
        <v>1034.06</v>
      </c>
    </row>
    <row r="66" spans="1:2" x14ac:dyDescent="0.2">
      <c r="A66" s="3">
        <v>255833</v>
      </c>
      <c r="B66" s="1">
        <v>1019.22</v>
      </c>
    </row>
    <row r="67" spans="1:2" x14ac:dyDescent="0.2">
      <c r="A67" s="3">
        <v>256427</v>
      </c>
      <c r="B67" s="1">
        <v>1034.06</v>
      </c>
    </row>
    <row r="68" spans="1:2" x14ac:dyDescent="0.2">
      <c r="A68" s="3">
        <v>262835</v>
      </c>
      <c r="B68" s="1">
        <v>1019.22</v>
      </c>
    </row>
    <row r="69" spans="1:2" x14ac:dyDescent="0.2">
      <c r="A69" s="3">
        <v>263428</v>
      </c>
      <c r="B69" s="1">
        <v>1050.94</v>
      </c>
    </row>
    <row r="70" spans="1:2" x14ac:dyDescent="0.2">
      <c r="A70" s="3">
        <v>269933</v>
      </c>
      <c r="B70" s="1">
        <v>1019.22</v>
      </c>
    </row>
    <row r="71" spans="1:2" x14ac:dyDescent="0.2">
      <c r="A71" s="3">
        <v>270517</v>
      </c>
      <c r="B71" s="1">
        <v>1043.5899999999999</v>
      </c>
    </row>
    <row r="72" spans="1:2" x14ac:dyDescent="0.2">
      <c r="A72" s="3">
        <v>276866</v>
      </c>
      <c r="B72" s="1">
        <v>1019.22</v>
      </c>
    </row>
    <row r="73" spans="1:2" x14ac:dyDescent="0.2">
      <c r="A73" s="3">
        <v>277450</v>
      </c>
      <c r="B73" s="1">
        <v>1033.52</v>
      </c>
    </row>
    <row r="74" spans="1:2" x14ac:dyDescent="0.2">
      <c r="A74" s="3">
        <v>283802</v>
      </c>
      <c r="B74" s="1">
        <v>1019.22</v>
      </c>
    </row>
    <row r="75" spans="1:2" x14ac:dyDescent="0.2">
      <c r="A75" s="3">
        <v>284396</v>
      </c>
      <c r="B75" s="1">
        <v>1031.25</v>
      </c>
    </row>
    <row r="76" spans="1:2" x14ac:dyDescent="0.2">
      <c r="A76" s="3">
        <v>290735</v>
      </c>
      <c r="B76" s="1">
        <v>1019.22</v>
      </c>
    </row>
    <row r="77" spans="1:2" x14ac:dyDescent="0.2">
      <c r="A77" s="3">
        <v>291329</v>
      </c>
      <c r="B77" s="1">
        <v>4.0599999999999996</v>
      </c>
    </row>
    <row r="78" spans="1:2" x14ac:dyDescent="0.2">
      <c r="A78" s="3">
        <v>297699</v>
      </c>
      <c r="B78" s="1">
        <v>1019.22</v>
      </c>
    </row>
    <row r="79" spans="1:2" x14ac:dyDescent="0.2">
      <c r="A79" s="3">
        <v>298303</v>
      </c>
      <c r="B79" s="1">
        <v>1062.19</v>
      </c>
    </row>
    <row r="80" spans="1:2" x14ac:dyDescent="0.2">
      <c r="A80" s="3">
        <v>304711</v>
      </c>
      <c r="B80" s="1">
        <v>1020.47</v>
      </c>
    </row>
    <row r="81" spans="1:2" x14ac:dyDescent="0.2">
      <c r="A81" s="3">
        <v>305305</v>
      </c>
      <c r="B81" s="1">
        <v>1042.5</v>
      </c>
    </row>
    <row r="82" spans="1:2" x14ac:dyDescent="0.2">
      <c r="A82" s="3">
        <v>311734</v>
      </c>
      <c r="B82" s="1">
        <v>1020.47</v>
      </c>
    </row>
    <row r="83" spans="1:2" x14ac:dyDescent="0.2">
      <c r="A83" s="3">
        <v>312349</v>
      </c>
      <c r="B83" s="1">
        <v>1028.52</v>
      </c>
    </row>
    <row r="84" spans="1:2" x14ac:dyDescent="0.2">
      <c r="A84" s="3">
        <v>318697</v>
      </c>
      <c r="B84" s="1">
        <v>1020.47</v>
      </c>
    </row>
    <row r="85" spans="1:2" x14ac:dyDescent="0.2">
      <c r="A85" s="3">
        <v>319291</v>
      </c>
      <c r="B85" s="1">
        <v>1070</v>
      </c>
    </row>
    <row r="86" spans="1:2" x14ac:dyDescent="0.2">
      <c r="A86" s="3">
        <v>325679</v>
      </c>
      <c r="B86" s="1">
        <v>1020.47</v>
      </c>
    </row>
    <row r="87" spans="1:2" x14ac:dyDescent="0.2">
      <c r="A87" s="3">
        <v>326273</v>
      </c>
      <c r="B87" s="1">
        <v>1076.17</v>
      </c>
    </row>
    <row r="88" spans="1:2" x14ac:dyDescent="0.2">
      <c r="A88" s="3">
        <v>332631</v>
      </c>
      <c r="B88" s="1">
        <v>1019.22</v>
      </c>
    </row>
    <row r="89" spans="1:2" x14ac:dyDescent="0.2">
      <c r="A89" s="3">
        <v>333225</v>
      </c>
      <c r="B89" s="1">
        <v>1055</v>
      </c>
    </row>
    <row r="90" spans="1:2" x14ac:dyDescent="0.2">
      <c r="A90" s="3">
        <v>339715</v>
      </c>
      <c r="B90" s="1">
        <v>1020.47</v>
      </c>
    </row>
    <row r="91" spans="1:2" x14ac:dyDescent="0.2">
      <c r="A91" s="3">
        <v>340318</v>
      </c>
      <c r="B91" s="1">
        <v>1305</v>
      </c>
    </row>
    <row r="92" spans="1:2" x14ac:dyDescent="0.2">
      <c r="A92" s="3">
        <v>346745</v>
      </c>
      <c r="B92" s="1">
        <v>1020.47</v>
      </c>
    </row>
    <row r="93" spans="1:2" x14ac:dyDescent="0.2">
      <c r="A93" s="3">
        <v>347339</v>
      </c>
      <c r="B93" s="1">
        <v>1070.6199999999999</v>
      </c>
    </row>
    <row r="94" spans="1:2" x14ac:dyDescent="0.2">
      <c r="A94" s="3">
        <v>353720</v>
      </c>
      <c r="B94" s="1">
        <v>1019.22</v>
      </c>
    </row>
    <row r="95" spans="1:2" x14ac:dyDescent="0.2">
      <c r="A95" s="3">
        <v>354314</v>
      </c>
      <c r="B95" s="1">
        <v>1039.69</v>
      </c>
    </row>
    <row r="96" spans="1:2" x14ac:dyDescent="0.2">
      <c r="A96" s="3">
        <v>360681</v>
      </c>
      <c r="B96" s="1">
        <v>1019.22</v>
      </c>
    </row>
    <row r="97" spans="1:2" x14ac:dyDescent="0.2">
      <c r="A97" s="3">
        <v>361275</v>
      </c>
      <c r="B97" s="1">
        <v>1059.92</v>
      </c>
    </row>
    <row r="98" spans="1:2" x14ac:dyDescent="0.2">
      <c r="A98" s="3">
        <v>367663</v>
      </c>
      <c r="B98" s="1">
        <v>1017.97</v>
      </c>
    </row>
    <row r="99" spans="1:2" x14ac:dyDescent="0.2">
      <c r="A99" s="3">
        <v>368267</v>
      </c>
      <c r="B99" s="1">
        <v>1053.75</v>
      </c>
    </row>
    <row r="100" spans="1:2" x14ac:dyDescent="0.2">
      <c r="A100" s="3">
        <v>374616</v>
      </c>
      <c r="B100" s="1">
        <v>1016.76</v>
      </c>
    </row>
    <row r="101" spans="1:2" x14ac:dyDescent="0.2">
      <c r="A101" s="3">
        <v>375210</v>
      </c>
      <c r="B101" s="1">
        <v>1046.0899999999999</v>
      </c>
    </row>
    <row r="102" spans="1:2" x14ac:dyDescent="0.2">
      <c r="A102" s="3">
        <v>381559</v>
      </c>
      <c r="B102" s="1">
        <v>1015.51</v>
      </c>
    </row>
    <row r="103" spans="1:2" x14ac:dyDescent="0.2">
      <c r="A103" s="3">
        <v>382153</v>
      </c>
      <c r="B103" s="1">
        <v>1816.33</v>
      </c>
    </row>
    <row r="104" spans="1:2" x14ac:dyDescent="0.2">
      <c r="A104" s="3">
        <v>388522</v>
      </c>
      <c r="B104" s="1">
        <v>1014.26</v>
      </c>
    </row>
    <row r="105" spans="1:2" x14ac:dyDescent="0.2">
      <c r="A105" s="3">
        <v>389106</v>
      </c>
      <c r="B105" s="1">
        <v>1083.67</v>
      </c>
    </row>
    <row r="106" spans="1:2" x14ac:dyDescent="0.2">
      <c r="A106" s="3">
        <v>395445</v>
      </c>
      <c r="B106" s="1">
        <v>1013.05</v>
      </c>
    </row>
    <row r="107" spans="1:2" x14ac:dyDescent="0.2">
      <c r="A107" s="3">
        <v>396039</v>
      </c>
      <c r="B107" s="1">
        <v>1035</v>
      </c>
    </row>
    <row r="108" spans="1:2" x14ac:dyDescent="0.2">
      <c r="A108" s="3">
        <v>402378</v>
      </c>
      <c r="B108" s="1">
        <v>1011.8</v>
      </c>
    </row>
    <row r="109" spans="1:2" x14ac:dyDescent="0.2">
      <c r="A109" s="3">
        <v>402962</v>
      </c>
      <c r="B109" s="1">
        <v>1025.7</v>
      </c>
    </row>
    <row r="110" spans="1:2" x14ac:dyDescent="0.2">
      <c r="A110" s="3">
        <v>409311</v>
      </c>
      <c r="B110" s="1">
        <v>1011.8</v>
      </c>
    </row>
    <row r="111" spans="1:2" x14ac:dyDescent="0.2">
      <c r="A111" s="3">
        <v>409895</v>
      </c>
      <c r="B111" s="1">
        <v>1011.64</v>
      </c>
    </row>
    <row r="112" spans="1:2" x14ac:dyDescent="0.2">
      <c r="A112" s="3">
        <v>416275</v>
      </c>
      <c r="B112" s="1">
        <v>1011.8</v>
      </c>
    </row>
    <row r="113" spans="1:2" x14ac:dyDescent="0.2">
      <c r="A113" s="3">
        <v>416869</v>
      </c>
      <c r="B113" s="1">
        <v>1034.06</v>
      </c>
    </row>
    <row r="114" spans="1:2" x14ac:dyDescent="0.2">
      <c r="A114" s="3">
        <v>423245</v>
      </c>
      <c r="B114" s="1">
        <v>1011.8</v>
      </c>
    </row>
    <row r="115" spans="1:2" x14ac:dyDescent="0.2">
      <c r="A115" s="3">
        <v>423849</v>
      </c>
      <c r="B115" s="1">
        <v>1022.89</v>
      </c>
    </row>
    <row r="116" spans="1:2" x14ac:dyDescent="0.2">
      <c r="A116" s="3">
        <v>430271</v>
      </c>
      <c r="B116" s="1">
        <v>1011.8</v>
      </c>
    </row>
    <row r="117" spans="1:2" x14ac:dyDescent="0.2">
      <c r="A117" s="3">
        <v>430855</v>
      </c>
      <c r="B117" s="1">
        <v>1021.02</v>
      </c>
    </row>
    <row r="118" spans="1:2" x14ac:dyDescent="0.2">
      <c r="A118" s="3">
        <v>437274</v>
      </c>
      <c r="B118" s="1">
        <v>1011.8</v>
      </c>
    </row>
    <row r="119" spans="1:2" x14ac:dyDescent="0.2">
      <c r="A119" s="3">
        <v>437878</v>
      </c>
      <c r="B119" s="1">
        <v>1047.27</v>
      </c>
    </row>
    <row r="120" spans="1:2" x14ac:dyDescent="0.2">
      <c r="A120" s="3">
        <v>444269</v>
      </c>
      <c r="B120" s="1">
        <v>1011.8</v>
      </c>
    </row>
    <row r="121" spans="1:2" x14ac:dyDescent="0.2">
      <c r="A121" s="3">
        <v>444863</v>
      </c>
      <c r="B121" s="1">
        <v>1031.56</v>
      </c>
    </row>
    <row r="122" spans="1:2" x14ac:dyDescent="0.2">
      <c r="A122" s="3">
        <v>451212</v>
      </c>
      <c r="B122" s="1">
        <v>1011.8</v>
      </c>
    </row>
    <row r="123" spans="1:2" x14ac:dyDescent="0.2">
      <c r="A123" s="3">
        <v>451806</v>
      </c>
      <c r="B123" s="1">
        <v>1017.42</v>
      </c>
    </row>
    <row r="124" spans="1:2" x14ac:dyDescent="0.2">
      <c r="A124" s="3">
        <v>458233</v>
      </c>
      <c r="B124" s="1">
        <v>1011.8</v>
      </c>
    </row>
    <row r="125" spans="1:2" x14ac:dyDescent="0.2">
      <c r="A125" s="3">
        <v>458837</v>
      </c>
      <c r="B125" s="1">
        <v>1028.52</v>
      </c>
    </row>
    <row r="126" spans="1:2" x14ac:dyDescent="0.2">
      <c r="A126" s="3">
        <v>465302</v>
      </c>
      <c r="B126" s="1">
        <v>1011.8</v>
      </c>
    </row>
    <row r="127" spans="1:2" x14ac:dyDescent="0.2">
      <c r="A127" s="3">
        <v>465897</v>
      </c>
      <c r="B127" s="1">
        <v>1017.97</v>
      </c>
    </row>
    <row r="128" spans="1:2" x14ac:dyDescent="0.2">
      <c r="A128" s="3">
        <v>472467</v>
      </c>
      <c r="B128" s="1">
        <v>1011.8</v>
      </c>
    </row>
    <row r="129" spans="1:2" x14ac:dyDescent="0.2">
      <c r="A129" s="3">
        <v>473051</v>
      </c>
      <c r="B129" s="1">
        <v>1022.27</v>
      </c>
    </row>
    <row r="130" spans="1:2" x14ac:dyDescent="0.2">
      <c r="A130" s="3">
        <v>479539</v>
      </c>
      <c r="B130" s="1">
        <v>1011.8</v>
      </c>
    </row>
    <row r="131" spans="1:2" x14ac:dyDescent="0.2">
      <c r="A131" s="3">
        <v>480133</v>
      </c>
      <c r="B131" s="1">
        <v>1017.5</v>
      </c>
    </row>
    <row r="132" spans="1:2" x14ac:dyDescent="0.2">
      <c r="A132" s="3">
        <v>486483</v>
      </c>
      <c r="B132" s="1">
        <v>1011.8</v>
      </c>
    </row>
    <row r="133" spans="1:2" x14ac:dyDescent="0.2">
      <c r="A133" s="3">
        <v>487068</v>
      </c>
      <c r="B133" s="1">
        <v>1010.08</v>
      </c>
    </row>
    <row r="134" spans="1:2" x14ac:dyDescent="0.2">
      <c r="A134" s="3">
        <v>493395</v>
      </c>
      <c r="B134" s="1">
        <v>1011.8</v>
      </c>
    </row>
    <row r="135" spans="1:2" x14ac:dyDescent="0.2">
      <c r="A135" s="3">
        <v>493979</v>
      </c>
      <c r="B135" s="1">
        <v>1019.84</v>
      </c>
    </row>
    <row r="136" spans="1:2" x14ac:dyDescent="0.2">
      <c r="A136" s="3">
        <v>500319</v>
      </c>
      <c r="B136" s="1">
        <v>1011.8</v>
      </c>
    </row>
    <row r="137" spans="1:2" x14ac:dyDescent="0.2">
      <c r="A137" s="3">
        <v>500913</v>
      </c>
      <c r="B137" s="1">
        <v>1022.89</v>
      </c>
    </row>
    <row r="138" spans="1:2" x14ac:dyDescent="0.2">
      <c r="A138" s="3">
        <v>507275</v>
      </c>
      <c r="B138" s="1">
        <v>1011.8</v>
      </c>
    </row>
    <row r="139" spans="1:2" x14ac:dyDescent="0.2">
      <c r="A139" s="3">
        <v>507869</v>
      </c>
      <c r="B139" s="1">
        <v>1011.64</v>
      </c>
    </row>
    <row r="140" spans="1:2" x14ac:dyDescent="0.2">
      <c r="A140" s="3">
        <v>514288</v>
      </c>
      <c r="B140" s="1">
        <v>1011.8</v>
      </c>
    </row>
    <row r="141" spans="1:2" x14ac:dyDescent="0.2">
      <c r="A141" s="3">
        <v>514882</v>
      </c>
      <c r="B141" s="1">
        <v>1011.64</v>
      </c>
    </row>
    <row r="142" spans="1:2" x14ac:dyDescent="0.2">
      <c r="A142" s="3">
        <v>521293</v>
      </c>
      <c r="B142" s="1">
        <v>1011.8</v>
      </c>
    </row>
    <row r="143" spans="1:2" x14ac:dyDescent="0.2">
      <c r="A143" s="3">
        <v>521877</v>
      </c>
      <c r="B143" s="1">
        <v>999.3</v>
      </c>
    </row>
    <row r="144" spans="1:2" x14ac:dyDescent="0.2">
      <c r="A144" s="3">
        <v>528256</v>
      </c>
      <c r="B144" s="1">
        <v>1011.8</v>
      </c>
    </row>
    <row r="145" spans="1:2" x14ac:dyDescent="0.2">
      <c r="A145" s="3">
        <v>528850</v>
      </c>
      <c r="B145" s="1">
        <v>1007.89</v>
      </c>
    </row>
    <row r="146" spans="1:2" x14ac:dyDescent="0.2">
      <c r="A146" s="3">
        <v>535301</v>
      </c>
      <c r="B146" s="1">
        <v>1011.8</v>
      </c>
    </row>
    <row r="147" spans="1:2" x14ac:dyDescent="0.2">
      <c r="A147" s="3">
        <v>535885</v>
      </c>
      <c r="B147" s="1">
        <v>1005.62</v>
      </c>
    </row>
    <row r="148" spans="1:2" x14ac:dyDescent="0.2">
      <c r="A148" s="3">
        <v>542365</v>
      </c>
      <c r="B148" s="1">
        <v>1011.8</v>
      </c>
    </row>
    <row r="149" spans="1:2" x14ac:dyDescent="0.2">
      <c r="A149" s="3">
        <v>542949</v>
      </c>
      <c r="B149" s="1">
        <v>1005.55</v>
      </c>
    </row>
    <row r="150" spans="1:2" x14ac:dyDescent="0.2">
      <c r="A150" s="3" t="s">
        <v>71</v>
      </c>
      <c r="B150" s="1">
        <v>1021.6330136986301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3371-D38E-F747-8C2A-C9FEF7386B37}">
  <dimension ref="A1:I1883"/>
  <sheetViews>
    <sheetView zoomScale="114" workbookViewId="0">
      <pane ySplit="1" topLeftCell="A2" activePane="bottomLeft" state="frozen"/>
      <selection pane="bottomLeft" activeCell="E26" sqref="E26"/>
    </sheetView>
  </sheetViews>
  <sheetFormatPr baseColWidth="10" defaultRowHeight="16" x14ac:dyDescent="0.2"/>
  <cols>
    <col min="1" max="1" width="7.6640625" bestFit="1" customWidth="1"/>
    <col min="2" max="2" width="24.33203125" bestFit="1" customWidth="1"/>
    <col min="3" max="3" width="6.83203125" bestFit="1" customWidth="1"/>
    <col min="4" max="4" width="7" bestFit="1" customWidth="1"/>
    <col min="5" max="5" width="9.6640625" bestFit="1" customWidth="1"/>
    <col min="6" max="6" width="10" bestFit="1" customWidth="1"/>
    <col min="7" max="7" width="5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</v>
      </c>
      <c r="I1" t="s">
        <v>74</v>
      </c>
    </row>
    <row r="2" spans="1:9" x14ac:dyDescent="0.2">
      <c r="A2">
        <v>38462</v>
      </c>
      <c r="B2" t="s">
        <v>7</v>
      </c>
      <c r="C2" t="s">
        <v>8</v>
      </c>
      <c r="D2" t="s">
        <v>9</v>
      </c>
      <c r="E2">
        <v>162</v>
      </c>
      <c r="F2">
        <v>102</v>
      </c>
      <c r="G2" t="s">
        <v>10</v>
      </c>
      <c r="H2" t="e">
        <f>IF(FIND("Pa",G2,1),"PSI","-")</f>
        <v>#VALUE!</v>
      </c>
      <c r="I2" t="str">
        <f>IF(G2="hPa",CONVERT(F2*100,"Pa","psi"), IF(G2="MPa",CONVERT(F2*1000000,"Pa","psi"),"-"))</f>
        <v>-</v>
      </c>
    </row>
    <row r="3" spans="1:9" x14ac:dyDescent="0.2">
      <c r="A3">
        <v>38654</v>
      </c>
      <c r="B3" t="s">
        <v>11</v>
      </c>
      <c r="C3" t="s">
        <v>8</v>
      </c>
      <c r="D3" t="s">
        <v>12</v>
      </c>
      <c r="E3">
        <v>201</v>
      </c>
      <c r="F3">
        <v>102.75</v>
      </c>
      <c r="G3" t="s">
        <v>10</v>
      </c>
      <c r="H3" t="e">
        <f t="shared" ref="H3:H66" si="0">IF(FIND("Pa",G3,1),"PSI","-")</f>
        <v>#VALUE!</v>
      </c>
      <c r="I3" t="str">
        <f t="shared" ref="I3:I66" si="1">IF(G3="hPa",CONVERT(F3*100,"Pa","psi"), IF(G3="MPa",CONVERT(F3*1000000,"Pa","psi"),"-"))</f>
        <v>-</v>
      </c>
    </row>
    <row r="4" spans="1:9" x14ac:dyDescent="0.2">
      <c r="A4">
        <v>38866</v>
      </c>
      <c r="B4" t="s">
        <v>13</v>
      </c>
      <c r="C4" t="s">
        <v>8</v>
      </c>
      <c r="D4" t="s">
        <v>14</v>
      </c>
      <c r="E4">
        <v>25902</v>
      </c>
      <c r="F4">
        <v>1011.8</v>
      </c>
      <c r="G4" t="s">
        <v>15</v>
      </c>
      <c r="H4" t="str">
        <f t="shared" si="0"/>
        <v>PSI</v>
      </c>
      <c r="I4">
        <f t="shared" si="1"/>
        <v>14.674918303542567</v>
      </c>
    </row>
    <row r="5" spans="1:9" x14ac:dyDescent="0.2">
      <c r="A5">
        <v>39248</v>
      </c>
      <c r="B5" t="s">
        <v>16</v>
      </c>
      <c r="C5" t="s">
        <v>8</v>
      </c>
      <c r="D5" t="s">
        <v>17</v>
      </c>
      <c r="E5" t="s">
        <v>18</v>
      </c>
      <c r="F5" t="s">
        <v>18</v>
      </c>
      <c r="G5" t="s">
        <v>18</v>
      </c>
      <c r="H5" t="e">
        <f t="shared" si="0"/>
        <v>#VALUE!</v>
      </c>
      <c r="I5" t="str">
        <f t="shared" si="1"/>
        <v>-</v>
      </c>
    </row>
    <row r="6" spans="1:9" x14ac:dyDescent="0.2">
      <c r="A6">
        <v>39460</v>
      </c>
      <c r="B6" t="s">
        <v>19</v>
      </c>
      <c r="C6" t="s">
        <v>8</v>
      </c>
      <c r="D6" t="s">
        <v>20</v>
      </c>
      <c r="E6">
        <v>12877</v>
      </c>
      <c r="F6">
        <v>1006.02</v>
      </c>
      <c r="G6" t="s">
        <v>15</v>
      </c>
      <c r="H6" t="str">
        <f t="shared" si="0"/>
        <v>PSI</v>
      </c>
      <c r="I6">
        <f t="shared" si="1"/>
        <v>14.591086491134506</v>
      </c>
    </row>
    <row r="7" spans="1:9" x14ac:dyDescent="0.2">
      <c r="A7">
        <v>39682</v>
      </c>
      <c r="B7" t="s">
        <v>21</v>
      </c>
      <c r="C7" t="s">
        <v>8</v>
      </c>
      <c r="D7" t="s">
        <v>22</v>
      </c>
      <c r="E7">
        <v>2885</v>
      </c>
      <c r="F7">
        <v>721.25</v>
      </c>
      <c r="G7" t="s">
        <v>23</v>
      </c>
      <c r="H7" t="e">
        <f t="shared" si="0"/>
        <v>#VALUE!</v>
      </c>
      <c r="I7" t="str">
        <f t="shared" si="1"/>
        <v>-</v>
      </c>
    </row>
    <row r="8" spans="1:9" x14ac:dyDescent="0.2">
      <c r="A8">
        <v>39884</v>
      </c>
      <c r="B8" t="s">
        <v>24</v>
      </c>
      <c r="C8" t="s">
        <v>8</v>
      </c>
      <c r="D8" t="s">
        <v>25</v>
      </c>
      <c r="E8">
        <v>1</v>
      </c>
      <c r="F8">
        <v>1</v>
      </c>
      <c r="G8" t="s">
        <v>26</v>
      </c>
      <c r="H8" t="e">
        <f t="shared" si="0"/>
        <v>#VALUE!</v>
      </c>
      <c r="I8" t="str">
        <f t="shared" si="1"/>
        <v>-</v>
      </c>
    </row>
    <row r="9" spans="1:9" x14ac:dyDescent="0.2">
      <c r="A9">
        <v>40096</v>
      </c>
      <c r="B9" t="s">
        <v>27</v>
      </c>
      <c r="C9" t="s">
        <v>8</v>
      </c>
      <c r="D9" t="s">
        <v>28</v>
      </c>
      <c r="E9">
        <v>515</v>
      </c>
      <c r="F9">
        <v>12.09</v>
      </c>
      <c r="G9" t="s">
        <v>29</v>
      </c>
      <c r="H9" t="e">
        <f t="shared" si="0"/>
        <v>#VALUE!</v>
      </c>
      <c r="I9" t="str">
        <f t="shared" si="1"/>
        <v>-</v>
      </c>
    </row>
    <row r="10" spans="1:9" x14ac:dyDescent="0.2">
      <c r="A10">
        <v>40309</v>
      </c>
      <c r="B10" t="s">
        <v>30</v>
      </c>
      <c r="C10" t="s">
        <v>8</v>
      </c>
      <c r="D10" t="s">
        <v>31</v>
      </c>
      <c r="E10">
        <v>2965</v>
      </c>
      <c r="F10">
        <v>2965</v>
      </c>
      <c r="G10" t="s">
        <v>15</v>
      </c>
      <c r="H10" t="str">
        <f t="shared" si="0"/>
        <v>PSI</v>
      </c>
      <c r="I10">
        <f t="shared" si="1"/>
        <v>43.00368923700703</v>
      </c>
    </row>
    <row r="11" spans="1:9" x14ac:dyDescent="0.2">
      <c r="A11">
        <v>40511</v>
      </c>
      <c r="B11" t="s">
        <v>32</v>
      </c>
      <c r="C11" t="s">
        <v>8</v>
      </c>
      <c r="D11" t="s">
        <v>33</v>
      </c>
      <c r="E11">
        <v>4096</v>
      </c>
      <c r="F11">
        <v>1</v>
      </c>
      <c r="G11" t="s">
        <v>26</v>
      </c>
      <c r="H11" t="e">
        <f t="shared" si="0"/>
        <v>#VALUE!</v>
      </c>
      <c r="I11" t="str">
        <f t="shared" si="1"/>
        <v>-</v>
      </c>
    </row>
    <row r="12" spans="1:9" x14ac:dyDescent="0.2">
      <c r="A12">
        <v>40723</v>
      </c>
      <c r="B12" t="s">
        <v>34</v>
      </c>
      <c r="C12" t="s">
        <v>8</v>
      </c>
      <c r="D12" t="s">
        <v>35</v>
      </c>
      <c r="E12">
        <v>4057</v>
      </c>
      <c r="F12">
        <v>0.99</v>
      </c>
      <c r="G12" t="s">
        <v>26</v>
      </c>
      <c r="H12" t="e">
        <f t="shared" si="0"/>
        <v>#VALUE!</v>
      </c>
      <c r="I12" t="str">
        <f t="shared" si="1"/>
        <v>-</v>
      </c>
    </row>
    <row r="13" spans="1:9" x14ac:dyDescent="0.2">
      <c r="A13">
        <v>41105</v>
      </c>
      <c r="B13" t="s">
        <v>36</v>
      </c>
      <c r="C13" t="s">
        <v>8</v>
      </c>
      <c r="D13" t="s">
        <v>37</v>
      </c>
      <c r="E13" t="s">
        <v>18</v>
      </c>
      <c r="F13" t="s">
        <v>18</v>
      </c>
      <c r="G13" t="s">
        <v>18</v>
      </c>
      <c r="H13" t="e">
        <f t="shared" si="0"/>
        <v>#VALUE!</v>
      </c>
      <c r="I13" t="str">
        <f t="shared" si="1"/>
        <v>-</v>
      </c>
    </row>
    <row r="14" spans="1:9" x14ac:dyDescent="0.2">
      <c r="A14">
        <v>41487</v>
      </c>
      <c r="B14" t="s">
        <v>38</v>
      </c>
      <c r="C14" t="s">
        <v>8</v>
      </c>
      <c r="D14" t="s">
        <v>39</v>
      </c>
      <c r="E14" t="s">
        <v>18</v>
      </c>
      <c r="F14" t="s">
        <v>18</v>
      </c>
      <c r="G14" t="s">
        <v>18</v>
      </c>
      <c r="H14" t="e">
        <f t="shared" si="0"/>
        <v>#VALUE!</v>
      </c>
      <c r="I14" t="str">
        <f t="shared" si="1"/>
        <v>-</v>
      </c>
    </row>
    <row r="15" spans="1:9" x14ac:dyDescent="0.2">
      <c r="A15">
        <v>41869</v>
      </c>
      <c r="B15" t="s">
        <v>40</v>
      </c>
      <c r="C15" t="s">
        <v>8</v>
      </c>
      <c r="D15" t="s">
        <v>41</v>
      </c>
      <c r="E15" t="s">
        <v>18</v>
      </c>
      <c r="F15" t="s">
        <v>18</v>
      </c>
      <c r="G15" t="s">
        <v>18</v>
      </c>
      <c r="H15" t="e">
        <f t="shared" si="0"/>
        <v>#VALUE!</v>
      </c>
      <c r="I15" t="str">
        <f t="shared" si="1"/>
        <v>-</v>
      </c>
    </row>
    <row r="16" spans="1:9" x14ac:dyDescent="0.2">
      <c r="A16">
        <v>42092</v>
      </c>
      <c r="B16" t="s">
        <v>42</v>
      </c>
      <c r="C16" t="s">
        <v>8</v>
      </c>
      <c r="D16" t="s">
        <v>43</v>
      </c>
      <c r="E16">
        <v>9398</v>
      </c>
      <c r="F16">
        <v>4.7</v>
      </c>
      <c r="G16" t="s">
        <v>44</v>
      </c>
      <c r="H16" t="str">
        <f t="shared" si="0"/>
        <v>PSI</v>
      </c>
      <c r="I16">
        <f t="shared" si="1"/>
        <v>681.67736733198331</v>
      </c>
    </row>
    <row r="17" spans="1:9" x14ac:dyDescent="0.2">
      <c r="A17">
        <v>42284</v>
      </c>
      <c r="B17" t="s">
        <v>45</v>
      </c>
      <c r="C17" t="s">
        <v>8</v>
      </c>
      <c r="D17" t="s">
        <v>46</v>
      </c>
      <c r="E17">
        <v>1</v>
      </c>
      <c r="F17">
        <v>1</v>
      </c>
      <c r="G17" t="s">
        <v>15</v>
      </c>
      <c r="H17" t="str">
        <f t="shared" si="0"/>
        <v>PSI</v>
      </c>
      <c r="I17">
        <f t="shared" si="1"/>
        <v>1.4503773773020921E-2</v>
      </c>
    </row>
    <row r="18" spans="1:9" x14ac:dyDescent="0.2">
      <c r="A18">
        <v>42506</v>
      </c>
      <c r="B18" t="s">
        <v>47</v>
      </c>
      <c r="C18" t="s">
        <v>8</v>
      </c>
      <c r="D18" t="s">
        <v>48</v>
      </c>
      <c r="E18">
        <v>84</v>
      </c>
      <c r="F18">
        <v>8.4</v>
      </c>
      <c r="G18" t="s">
        <v>49</v>
      </c>
      <c r="H18" t="e">
        <f t="shared" si="0"/>
        <v>#VALUE!</v>
      </c>
      <c r="I18" t="str">
        <f t="shared" si="1"/>
        <v>-</v>
      </c>
    </row>
    <row r="19" spans="1:9" x14ac:dyDescent="0.2">
      <c r="A19">
        <v>42728</v>
      </c>
      <c r="B19" t="s">
        <v>50</v>
      </c>
      <c r="C19" t="s">
        <v>8</v>
      </c>
      <c r="D19" t="s">
        <v>51</v>
      </c>
      <c r="E19">
        <v>23985</v>
      </c>
      <c r="F19">
        <v>936.91</v>
      </c>
      <c r="G19" t="s">
        <v>15</v>
      </c>
      <c r="H19" t="str">
        <f t="shared" si="0"/>
        <v>PSI</v>
      </c>
      <c r="I19">
        <f t="shared" si="1"/>
        <v>13.58873068568103</v>
      </c>
    </row>
    <row r="20" spans="1:9" x14ac:dyDescent="0.2">
      <c r="A20">
        <v>42930</v>
      </c>
      <c r="B20" t="s">
        <v>52</v>
      </c>
      <c r="C20" t="s">
        <v>8</v>
      </c>
      <c r="D20" t="s">
        <v>53</v>
      </c>
      <c r="E20">
        <v>115</v>
      </c>
      <c r="F20">
        <v>38.25</v>
      </c>
      <c r="G20" t="s">
        <v>10</v>
      </c>
      <c r="H20" t="e">
        <f t="shared" si="0"/>
        <v>#VALUE!</v>
      </c>
      <c r="I20" t="str">
        <f t="shared" si="1"/>
        <v>-</v>
      </c>
    </row>
    <row r="21" spans="1:9" x14ac:dyDescent="0.2">
      <c r="A21">
        <v>43132</v>
      </c>
      <c r="B21" t="s">
        <v>54</v>
      </c>
      <c r="C21" t="s">
        <v>8</v>
      </c>
      <c r="D21" t="s">
        <v>55</v>
      </c>
      <c r="E21">
        <v>2</v>
      </c>
      <c r="F21">
        <v>8</v>
      </c>
      <c r="G21" t="s">
        <v>56</v>
      </c>
      <c r="H21" t="e">
        <f t="shared" si="0"/>
        <v>#VALUE!</v>
      </c>
      <c r="I21" t="str">
        <f t="shared" si="1"/>
        <v>-</v>
      </c>
    </row>
    <row r="22" spans="1:9" x14ac:dyDescent="0.2">
      <c r="A22">
        <v>43514</v>
      </c>
      <c r="B22" t="s">
        <v>57</v>
      </c>
      <c r="C22" t="s">
        <v>8</v>
      </c>
      <c r="D22" t="s">
        <v>58</v>
      </c>
      <c r="E22" t="s">
        <v>18</v>
      </c>
      <c r="F22" t="s">
        <v>18</v>
      </c>
      <c r="G22" t="s">
        <v>18</v>
      </c>
      <c r="H22" t="e">
        <f t="shared" si="0"/>
        <v>#VALUE!</v>
      </c>
      <c r="I22" t="str">
        <f t="shared" si="1"/>
        <v>-</v>
      </c>
    </row>
    <row r="23" spans="1:9" x14ac:dyDescent="0.2">
      <c r="A23">
        <v>43886</v>
      </c>
      <c r="B23" t="s">
        <v>59</v>
      </c>
      <c r="C23" t="s">
        <v>8</v>
      </c>
      <c r="D23" t="s">
        <v>60</v>
      </c>
      <c r="E23" t="s">
        <v>18</v>
      </c>
      <c r="F23" t="s">
        <v>18</v>
      </c>
      <c r="G23" t="s">
        <v>18</v>
      </c>
      <c r="H23" t="e">
        <f t="shared" si="0"/>
        <v>#VALUE!</v>
      </c>
      <c r="I23" t="str">
        <f t="shared" si="1"/>
        <v>-</v>
      </c>
    </row>
    <row r="24" spans="1:9" x14ac:dyDescent="0.2">
      <c r="A24">
        <v>44268</v>
      </c>
      <c r="B24" t="s">
        <v>61</v>
      </c>
      <c r="C24" t="s">
        <v>8</v>
      </c>
      <c r="D24" t="s">
        <v>62</v>
      </c>
      <c r="E24" t="s">
        <v>18</v>
      </c>
      <c r="F24" t="s">
        <v>18</v>
      </c>
      <c r="G24" t="s">
        <v>18</v>
      </c>
      <c r="H24" t="e">
        <f t="shared" si="0"/>
        <v>#VALUE!</v>
      </c>
      <c r="I24" t="str">
        <f t="shared" si="1"/>
        <v>-</v>
      </c>
    </row>
    <row r="25" spans="1:9" x14ac:dyDescent="0.2">
      <c r="A25">
        <v>44650</v>
      </c>
      <c r="B25" t="s">
        <v>63</v>
      </c>
      <c r="C25" t="s">
        <v>8</v>
      </c>
      <c r="D25" t="s">
        <v>64</v>
      </c>
      <c r="E25" t="s">
        <v>18</v>
      </c>
      <c r="F25" t="s">
        <v>18</v>
      </c>
      <c r="G25" t="s">
        <v>18</v>
      </c>
      <c r="H25" t="e">
        <f t="shared" si="0"/>
        <v>#VALUE!</v>
      </c>
      <c r="I25" t="str">
        <f t="shared" si="1"/>
        <v>-</v>
      </c>
    </row>
    <row r="26" spans="1:9" x14ac:dyDescent="0.2">
      <c r="A26">
        <v>44912</v>
      </c>
      <c r="B26" t="s">
        <v>65</v>
      </c>
      <c r="C26" t="s">
        <v>8</v>
      </c>
      <c r="D26" t="s">
        <v>66</v>
      </c>
      <c r="E26">
        <v>26575</v>
      </c>
      <c r="F26">
        <v>3.24</v>
      </c>
      <c r="G26" t="s">
        <v>67</v>
      </c>
      <c r="H26" t="e">
        <f t="shared" si="0"/>
        <v>#VALUE!</v>
      </c>
      <c r="I26" t="str">
        <f t="shared" si="1"/>
        <v>-</v>
      </c>
    </row>
    <row r="27" spans="1:9" x14ac:dyDescent="0.2">
      <c r="A27">
        <v>45284</v>
      </c>
      <c r="B27" t="s">
        <v>68</v>
      </c>
      <c r="C27" t="s">
        <v>8</v>
      </c>
      <c r="D27" t="s">
        <v>69</v>
      </c>
      <c r="E27" t="s">
        <v>18</v>
      </c>
      <c r="F27" t="s">
        <v>18</v>
      </c>
      <c r="G27" t="s">
        <v>18</v>
      </c>
      <c r="H27" t="e">
        <f t="shared" si="0"/>
        <v>#VALUE!</v>
      </c>
      <c r="I27" t="str">
        <f t="shared" si="1"/>
        <v>-</v>
      </c>
    </row>
    <row r="28" spans="1:9" x14ac:dyDescent="0.2">
      <c r="A28">
        <v>45486</v>
      </c>
      <c r="B28" t="s">
        <v>7</v>
      </c>
      <c r="C28" t="s">
        <v>8</v>
      </c>
      <c r="D28" t="s">
        <v>9</v>
      </c>
      <c r="E28">
        <v>162</v>
      </c>
      <c r="F28">
        <v>102</v>
      </c>
      <c r="G28" t="s">
        <v>10</v>
      </c>
      <c r="H28" t="e">
        <f t="shared" si="0"/>
        <v>#VALUE!</v>
      </c>
      <c r="I28" t="str">
        <f t="shared" si="1"/>
        <v>-</v>
      </c>
    </row>
    <row r="29" spans="1:9" x14ac:dyDescent="0.2">
      <c r="A29">
        <v>45688</v>
      </c>
      <c r="B29" t="s">
        <v>11</v>
      </c>
      <c r="C29" t="s">
        <v>8</v>
      </c>
      <c r="D29" t="s">
        <v>12</v>
      </c>
      <c r="E29">
        <v>192</v>
      </c>
      <c r="F29">
        <v>96</v>
      </c>
      <c r="G29" t="s">
        <v>10</v>
      </c>
      <c r="H29" t="e">
        <f t="shared" si="0"/>
        <v>#VALUE!</v>
      </c>
      <c r="I29" t="str">
        <f t="shared" si="1"/>
        <v>-</v>
      </c>
    </row>
    <row r="30" spans="1:9" x14ac:dyDescent="0.2">
      <c r="A30">
        <v>45900</v>
      </c>
      <c r="B30" t="s">
        <v>13</v>
      </c>
      <c r="C30" t="s">
        <v>8</v>
      </c>
      <c r="D30" t="s">
        <v>14</v>
      </c>
      <c r="E30">
        <v>25902</v>
      </c>
      <c r="F30">
        <v>1011.8</v>
      </c>
      <c r="G30" t="s">
        <v>15</v>
      </c>
      <c r="H30" t="str">
        <f t="shared" si="0"/>
        <v>PSI</v>
      </c>
      <c r="I30">
        <f t="shared" si="1"/>
        <v>14.674918303542567</v>
      </c>
    </row>
    <row r="31" spans="1:9" x14ac:dyDescent="0.2">
      <c r="A31">
        <v>46282</v>
      </c>
      <c r="B31" t="s">
        <v>16</v>
      </c>
      <c r="C31" t="s">
        <v>8</v>
      </c>
      <c r="D31" t="s">
        <v>17</v>
      </c>
      <c r="E31" t="s">
        <v>18</v>
      </c>
      <c r="F31" t="s">
        <v>18</v>
      </c>
      <c r="G31" t="s">
        <v>18</v>
      </c>
      <c r="H31" t="e">
        <f t="shared" si="0"/>
        <v>#VALUE!</v>
      </c>
      <c r="I31" t="str">
        <f t="shared" si="1"/>
        <v>-</v>
      </c>
    </row>
    <row r="32" spans="1:9" x14ac:dyDescent="0.2">
      <c r="A32">
        <v>46494</v>
      </c>
      <c r="B32" t="s">
        <v>19</v>
      </c>
      <c r="C32" t="s">
        <v>8</v>
      </c>
      <c r="D32" t="s">
        <v>20</v>
      </c>
      <c r="E32">
        <v>12878</v>
      </c>
      <c r="F32">
        <v>1006.09</v>
      </c>
      <c r="G32" t="s">
        <v>15</v>
      </c>
      <c r="H32" t="str">
        <f t="shared" si="0"/>
        <v>PSI</v>
      </c>
      <c r="I32">
        <f t="shared" si="1"/>
        <v>14.592101755298618</v>
      </c>
    </row>
    <row r="33" spans="1:9" x14ac:dyDescent="0.2">
      <c r="A33">
        <v>46706</v>
      </c>
      <c r="B33" t="s">
        <v>21</v>
      </c>
      <c r="C33" t="s">
        <v>8</v>
      </c>
      <c r="D33" t="s">
        <v>22</v>
      </c>
      <c r="E33">
        <v>2593</v>
      </c>
      <c r="F33">
        <v>648.25</v>
      </c>
      <c r="G33" t="s">
        <v>23</v>
      </c>
      <c r="H33" t="e">
        <f t="shared" si="0"/>
        <v>#VALUE!</v>
      </c>
      <c r="I33" t="str">
        <f t="shared" si="1"/>
        <v>-</v>
      </c>
    </row>
    <row r="34" spans="1:9" x14ac:dyDescent="0.2">
      <c r="A34">
        <v>46908</v>
      </c>
      <c r="B34" t="s">
        <v>24</v>
      </c>
      <c r="C34" t="s">
        <v>8</v>
      </c>
      <c r="D34" t="s">
        <v>25</v>
      </c>
      <c r="E34">
        <v>1</v>
      </c>
      <c r="F34">
        <v>1</v>
      </c>
      <c r="G34" t="s">
        <v>26</v>
      </c>
      <c r="H34" t="e">
        <f t="shared" si="0"/>
        <v>#VALUE!</v>
      </c>
      <c r="I34" t="str">
        <f t="shared" si="1"/>
        <v>-</v>
      </c>
    </row>
    <row r="35" spans="1:9" x14ac:dyDescent="0.2">
      <c r="A35">
        <v>47120</v>
      </c>
      <c r="B35" t="s">
        <v>27</v>
      </c>
      <c r="C35" t="s">
        <v>8</v>
      </c>
      <c r="D35" t="s">
        <v>28</v>
      </c>
      <c r="E35">
        <v>548</v>
      </c>
      <c r="F35">
        <v>12.87</v>
      </c>
      <c r="G35" t="s">
        <v>29</v>
      </c>
      <c r="H35" t="e">
        <f t="shared" si="0"/>
        <v>#VALUE!</v>
      </c>
      <c r="I35" t="str">
        <f t="shared" si="1"/>
        <v>-</v>
      </c>
    </row>
    <row r="36" spans="1:9" x14ac:dyDescent="0.2">
      <c r="A36">
        <v>47343</v>
      </c>
      <c r="B36" t="s">
        <v>30</v>
      </c>
      <c r="C36" t="s">
        <v>8</v>
      </c>
      <c r="D36" t="s">
        <v>31</v>
      </c>
      <c r="E36">
        <v>2648</v>
      </c>
      <c r="F36">
        <v>2648</v>
      </c>
      <c r="G36" t="s">
        <v>15</v>
      </c>
      <c r="H36" t="str">
        <f t="shared" si="0"/>
        <v>PSI</v>
      </c>
      <c r="I36">
        <f t="shared" si="1"/>
        <v>38.405992950959401</v>
      </c>
    </row>
    <row r="37" spans="1:9" x14ac:dyDescent="0.2">
      <c r="A37">
        <v>47555</v>
      </c>
      <c r="B37" t="s">
        <v>32</v>
      </c>
      <c r="C37" t="s">
        <v>8</v>
      </c>
      <c r="D37" t="s">
        <v>33</v>
      </c>
      <c r="E37">
        <v>17</v>
      </c>
      <c r="F37">
        <v>0</v>
      </c>
      <c r="G37" t="s">
        <v>26</v>
      </c>
      <c r="H37" t="e">
        <f t="shared" si="0"/>
        <v>#VALUE!</v>
      </c>
      <c r="I37" t="str">
        <f t="shared" si="1"/>
        <v>-</v>
      </c>
    </row>
    <row r="38" spans="1:9" x14ac:dyDescent="0.2">
      <c r="A38">
        <v>47767</v>
      </c>
      <c r="B38" t="s">
        <v>34</v>
      </c>
      <c r="C38" t="s">
        <v>8</v>
      </c>
      <c r="D38" t="s">
        <v>35</v>
      </c>
      <c r="E38">
        <v>4224</v>
      </c>
      <c r="F38">
        <v>1.03</v>
      </c>
      <c r="G38" t="s">
        <v>26</v>
      </c>
      <c r="H38" t="e">
        <f t="shared" si="0"/>
        <v>#VALUE!</v>
      </c>
      <c r="I38" t="str">
        <f t="shared" si="1"/>
        <v>-</v>
      </c>
    </row>
    <row r="39" spans="1:9" x14ac:dyDescent="0.2">
      <c r="A39">
        <v>48149</v>
      </c>
      <c r="B39" t="s">
        <v>36</v>
      </c>
      <c r="C39" t="s">
        <v>8</v>
      </c>
      <c r="D39" t="s">
        <v>37</v>
      </c>
      <c r="E39" t="s">
        <v>18</v>
      </c>
      <c r="F39" t="s">
        <v>18</v>
      </c>
      <c r="G39" t="s">
        <v>18</v>
      </c>
      <c r="H39" t="e">
        <f t="shared" si="0"/>
        <v>#VALUE!</v>
      </c>
      <c r="I39" t="str">
        <f t="shared" si="1"/>
        <v>-</v>
      </c>
    </row>
    <row r="40" spans="1:9" x14ac:dyDescent="0.2">
      <c r="A40">
        <v>48531</v>
      </c>
      <c r="B40" t="s">
        <v>38</v>
      </c>
      <c r="C40" t="s">
        <v>8</v>
      </c>
      <c r="D40" t="s">
        <v>39</v>
      </c>
      <c r="E40" t="s">
        <v>18</v>
      </c>
      <c r="F40" t="s">
        <v>18</v>
      </c>
      <c r="G40" t="s">
        <v>18</v>
      </c>
      <c r="H40" t="e">
        <f t="shared" si="0"/>
        <v>#VALUE!</v>
      </c>
      <c r="I40" t="str">
        <f t="shared" si="1"/>
        <v>-</v>
      </c>
    </row>
    <row r="41" spans="1:9" x14ac:dyDescent="0.2">
      <c r="A41">
        <v>48913</v>
      </c>
      <c r="B41" t="s">
        <v>40</v>
      </c>
      <c r="C41" t="s">
        <v>8</v>
      </c>
      <c r="D41" t="s">
        <v>41</v>
      </c>
      <c r="E41" t="s">
        <v>18</v>
      </c>
      <c r="F41" t="s">
        <v>18</v>
      </c>
      <c r="G41" t="s">
        <v>18</v>
      </c>
      <c r="H41" t="e">
        <f t="shared" si="0"/>
        <v>#VALUE!</v>
      </c>
      <c r="I41" t="str">
        <f t="shared" si="1"/>
        <v>-</v>
      </c>
    </row>
    <row r="42" spans="1:9" x14ac:dyDescent="0.2">
      <c r="A42">
        <v>49125</v>
      </c>
      <c r="B42" t="s">
        <v>42</v>
      </c>
      <c r="C42" t="s">
        <v>8</v>
      </c>
      <c r="D42" t="s">
        <v>43</v>
      </c>
      <c r="E42">
        <v>9036</v>
      </c>
      <c r="F42">
        <v>4.5199999999999996</v>
      </c>
      <c r="G42" t="s">
        <v>44</v>
      </c>
      <c r="H42" t="str">
        <f t="shared" si="0"/>
        <v>PSI</v>
      </c>
      <c r="I42">
        <f t="shared" si="1"/>
        <v>655.57057454054564</v>
      </c>
    </row>
    <row r="43" spans="1:9" x14ac:dyDescent="0.2">
      <c r="A43">
        <v>49327</v>
      </c>
      <c r="B43" t="s">
        <v>45</v>
      </c>
      <c r="C43" t="s">
        <v>8</v>
      </c>
      <c r="D43" t="s">
        <v>46</v>
      </c>
      <c r="E43">
        <v>1</v>
      </c>
      <c r="F43">
        <v>1</v>
      </c>
      <c r="G43" t="s">
        <v>15</v>
      </c>
      <c r="H43" t="str">
        <f t="shared" si="0"/>
        <v>PSI</v>
      </c>
      <c r="I43">
        <f t="shared" si="1"/>
        <v>1.4503773773020921E-2</v>
      </c>
    </row>
    <row r="44" spans="1:9" x14ac:dyDescent="0.2">
      <c r="A44">
        <v>49569</v>
      </c>
      <c r="B44" t="s">
        <v>47</v>
      </c>
      <c r="C44" t="s">
        <v>8</v>
      </c>
      <c r="D44" t="s">
        <v>48</v>
      </c>
      <c r="E44">
        <v>155</v>
      </c>
      <c r="F44">
        <v>15.5</v>
      </c>
      <c r="G44" t="s">
        <v>49</v>
      </c>
      <c r="H44" t="e">
        <f t="shared" si="0"/>
        <v>#VALUE!</v>
      </c>
      <c r="I44" t="str">
        <f t="shared" si="1"/>
        <v>-</v>
      </c>
    </row>
    <row r="45" spans="1:9" x14ac:dyDescent="0.2">
      <c r="A45">
        <v>49791</v>
      </c>
      <c r="B45" t="s">
        <v>50</v>
      </c>
      <c r="C45" t="s">
        <v>8</v>
      </c>
      <c r="D45" t="s">
        <v>51</v>
      </c>
      <c r="E45">
        <v>24631</v>
      </c>
      <c r="F45">
        <v>962.15</v>
      </c>
      <c r="G45" t="s">
        <v>15</v>
      </c>
      <c r="H45" t="str">
        <f t="shared" si="0"/>
        <v>PSI</v>
      </c>
      <c r="I45">
        <f t="shared" si="1"/>
        <v>13.954805935712079</v>
      </c>
    </row>
    <row r="46" spans="1:9" x14ac:dyDescent="0.2">
      <c r="A46">
        <v>49994</v>
      </c>
      <c r="B46" t="s">
        <v>52</v>
      </c>
      <c r="C46" t="s">
        <v>8</v>
      </c>
      <c r="D46" t="s">
        <v>53</v>
      </c>
      <c r="E46">
        <v>113</v>
      </c>
      <c r="F46">
        <v>36.75</v>
      </c>
      <c r="G46" t="s">
        <v>10</v>
      </c>
      <c r="H46" t="e">
        <f t="shared" si="0"/>
        <v>#VALUE!</v>
      </c>
      <c r="I46" t="str">
        <f t="shared" si="1"/>
        <v>-</v>
      </c>
    </row>
    <row r="47" spans="1:9" x14ac:dyDescent="0.2">
      <c r="A47">
        <v>50197</v>
      </c>
      <c r="B47" t="s">
        <v>54</v>
      </c>
      <c r="C47" t="s">
        <v>8</v>
      </c>
      <c r="D47" t="s">
        <v>55</v>
      </c>
      <c r="E47">
        <v>3</v>
      </c>
      <c r="F47">
        <v>12</v>
      </c>
      <c r="G47" t="s">
        <v>56</v>
      </c>
      <c r="H47" t="e">
        <f t="shared" si="0"/>
        <v>#VALUE!</v>
      </c>
      <c r="I47" t="str">
        <f t="shared" si="1"/>
        <v>-</v>
      </c>
    </row>
    <row r="48" spans="1:9" x14ac:dyDescent="0.2">
      <c r="A48">
        <v>50579</v>
      </c>
      <c r="B48" t="s">
        <v>57</v>
      </c>
      <c r="C48" t="s">
        <v>8</v>
      </c>
      <c r="D48" t="s">
        <v>58</v>
      </c>
      <c r="E48" t="s">
        <v>18</v>
      </c>
      <c r="F48" t="s">
        <v>18</v>
      </c>
      <c r="G48" t="s">
        <v>18</v>
      </c>
      <c r="H48" t="e">
        <f t="shared" si="0"/>
        <v>#VALUE!</v>
      </c>
      <c r="I48" t="str">
        <f t="shared" si="1"/>
        <v>-</v>
      </c>
    </row>
    <row r="49" spans="1:9" x14ac:dyDescent="0.2">
      <c r="A49">
        <v>50990</v>
      </c>
      <c r="B49" t="s">
        <v>59</v>
      </c>
      <c r="C49" t="s">
        <v>8</v>
      </c>
      <c r="D49" t="s">
        <v>60</v>
      </c>
      <c r="E49" t="s">
        <v>18</v>
      </c>
      <c r="F49" t="s">
        <v>18</v>
      </c>
      <c r="G49" t="s">
        <v>18</v>
      </c>
      <c r="H49" t="e">
        <f t="shared" si="0"/>
        <v>#VALUE!</v>
      </c>
      <c r="I49" t="str">
        <f t="shared" si="1"/>
        <v>-</v>
      </c>
    </row>
    <row r="50" spans="1:9" x14ac:dyDescent="0.2">
      <c r="A50">
        <v>51372</v>
      </c>
      <c r="B50" t="s">
        <v>61</v>
      </c>
      <c r="C50" t="s">
        <v>8</v>
      </c>
      <c r="D50" t="s">
        <v>62</v>
      </c>
      <c r="E50" t="s">
        <v>18</v>
      </c>
      <c r="F50" t="s">
        <v>18</v>
      </c>
      <c r="G50" t="s">
        <v>18</v>
      </c>
      <c r="H50" t="e">
        <f t="shared" si="0"/>
        <v>#VALUE!</v>
      </c>
      <c r="I50" t="str">
        <f t="shared" si="1"/>
        <v>-</v>
      </c>
    </row>
    <row r="51" spans="1:9" x14ac:dyDescent="0.2">
      <c r="A51">
        <v>51754</v>
      </c>
      <c r="B51" t="s">
        <v>63</v>
      </c>
      <c r="C51" t="s">
        <v>8</v>
      </c>
      <c r="D51" t="s">
        <v>64</v>
      </c>
      <c r="E51" t="s">
        <v>18</v>
      </c>
      <c r="F51" t="s">
        <v>18</v>
      </c>
      <c r="G51" t="s">
        <v>18</v>
      </c>
      <c r="H51" t="e">
        <f t="shared" si="0"/>
        <v>#VALUE!</v>
      </c>
      <c r="I51" t="str">
        <f t="shared" si="1"/>
        <v>-</v>
      </c>
    </row>
    <row r="52" spans="1:9" x14ac:dyDescent="0.2">
      <c r="A52">
        <v>52006</v>
      </c>
      <c r="B52" t="s">
        <v>65</v>
      </c>
      <c r="C52" t="s">
        <v>8</v>
      </c>
      <c r="D52" t="s">
        <v>66</v>
      </c>
      <c r="E52">
        <v>26590</v>
      </c>
      <c r="F52">
        <v>3.25</v>
      </c>
      <c r="G52" t="s">
        <v>67</v>
      </c>
      <c r="H52" t="e">
        <f t="shared" si="0"/>
        <v>#VALUE!</v>
      </c>
      <c r="I52" t="str">
        <f t="shared" si="1"/>
        <v>-</v>
      </c>
    </row>
    <row r="53" spans="1:9" x14ac:dyDescent="0.2">
      <c r="A53">
        <v>52388</v>
      </c>
      <c r="B53" t="s">
        <v>68</v>
      </c>
      <c r="C53" t="s">
        <v>8</v>
      </c>
      <c r="D53" t="s">
        <v>69</v>
      </c>
      <c r="E53" t="s">
        <v>18</v>
      </c>
      <c r="F53" t="s">
        <v>18</v>
      </c>
      <c r="G53" t="s">
        <v>18</v>
      </c>
      <c r="H53" t="e">
        <f t="shared" si="0"/>
        <v>#VALUE!</v>
      </c>
      <c r="I53" t="str">
        <f t="shared" si="1"/>
        <v>-</v>
      </c>
    </row>
    <row r="54" spans="1:9" x14ac:dyDescent="0.2">
      <c r="A54">
        <v>52589</v>
      </c>
      <c r="B54" t="s">
        <v>7</v>
      </c>
      <c r="C54" t="s">
        <v>8</v>
      </c>
      <c r="D54" t="s">
        <v>9</v>
      </c>
      <c r="E54">
        <v>162</v>
      </c>
      <c r="F54">
        <v>102</v>
      </c>
      <c r="G54" t="s">
        <v>10</v>
      </c>
      <c r="H54" t="e">
        <f t="shared" si="0"/>
        <v>#VALUE!</v>
      </c>
      <c r="I54" t="str">
        <f t="shared" si="1"/>
        <v>-</v>
      </c>
    </row>
    <row r="55" spans="1:9" x14ac:dyDescent="0.2">
      <c r="A55">
        <v>52781</v>
      </c>
      <c r="B55" t="s">
        <v>11</v>
      </c>
      <c r="C55" t="s">
        <v>8</v>
      </c>
      <c r="D55" t="s">
        <v>12</v>
      </c>
      <c r="E55">
        <v>186</v>
      </c>
      <c r="F55">
        <v>91.5</v>
      </c>
      <c r="G55" t="s">
        <v>10</v>
      </c>
      <c r="H55" t="e">
        <f t="shared" si="0"/>
        <v>#VALUE!</v>
      </c>
      <c r="I55" t="str">
        <f t="shared" si="1"/>
        <v>-</v>
      </c>
    </row>
    <row r="56" spans="1:9" x14ac:dyDescent="0.2">
      <c r="A56">
        <v>52993</v>
      </c>
      <c r="B56" t="s">
        <v>13</v>
      </c>
      <c r="C56" t="s">
        <v>8</v>
      </c>
      <c r="D56" t="s">
        <v>14</v>
      </c>
      <c r="E56">
        <v>25902</v>
      </c>
      <c r="F56">
        <v>1011.8</v>
      </c>
      <c r="G56" t="s">
        <v>15</v>
      </c>
      <c r="H56" t="str">
        <f t="shared" si="0"/>
        <v>PSI</v>
      </c>
      <c r="I56">
        <f t="shared" si="1"/>
        <v>14.674918303542567</v>
      </c>
    </row>
    <row r="57" spans="1:9" x14ac:dyDescent="0.2">
      <c r="A57">
        <v>53375</v>
      </c>
      <c r="B57" t="s">
        <v>16</v>
      </c>
      <c r="C57" t="s">
        <v>8</v>
      </c>
      <c r="D57" t="s">
        <v>17</v>
      </c>
      <c r="E57" t="s">
        <v>18</v>
      </c>
      <c r="F57" t="s">
        <v>18</v>
      </c>
      <c r="G57" t="s">
        <v>18</v>
      </c>
      <c r="H57" t="e">
        <f t="shared" si="0"/>
        <v>#VALUE!</v>
      </c>
      <c r="I57" t="str">
        <f t="shared" si="1"/>
        <v>-</v>
      </c>
    </row>
    <row r="58" spans="1:9" x14ac:dyDescent="0.2">
      <c r="A58">
        <v>53597</v>
      </c>
      <c r="B58" t="s">
        <v>19</v>
      </c>
      <c r="C58" t="s">
        <v>8</v>
      </c>
      <c r="D58" t="s">
        <v>20</v>
      </c>
      <c r="E58">
        <v>12912</v>
      </c>
      <c r="F58">
        <v>1008.75</v>
      </c>
      <c r="G58" t="s">
        <v>15</v>
      </c>
      <c r="H58" t="str">
        <f t="shared" si="0"/>
        <v>PSI</v>
      </c>
      <c r="I58">
        <f t="shared" si="1"/>
        <v>14.630681793534853</v>
      </c>
    </row>
    <row r="59" spans="1:9" x14ac:dyDescent="0.2">
      <c r="A59">
        <v>53809</v>
      </c>
      <c r="B59" t="s">
        <v>21</v>
      </c>
      <c r="C59" t="s">
        <v>8</v>
      </c>
      <c r="D59" t="s">
        <v>22</v>
      </c>
      <c r="E59">
        <v>2955</v>
      </c>
      <c r="F59">
        <v>738.75</v>
      </c>
      <c r="G59" t="s">
        <v>23</v>
      </c>
      <c r="H59" t="e">
        <f t="shared" si="0"/>
        <v>#VALUE!</v>
      </c>
      <c r="I59" t="str">
        <f t="shared" si="1"/>
        <v>-</v>
      </c>
    </row>
    <row r="60" spans="1:9" x14ac:dyDescent="0.2">
      <c r="A60">
        <v>54001</v>
      </c>
      <c r="B60" t="s">
        <v>24</v>
      </c>
      <c r="C60" t="s">
        <v>8</v>
      </c>
      <c r="D60" t="s">
        <v>25</v>
      </c>
      <c r="E60">
        <v>8</v>
      </c>
      <c r="F60">
        <v>8</v>
      </c>
      <c r="G60" t="s">
        <v>26</v>
      </c>
      <c r="H60" t="e">
        <f t="shared" si="0"/>
        <v>#VALUE!</v>
      </c>
      <c r="I60" t="str">
        <f t="shared" si="1"/>
        <v>-</v>
      </c>
    </row>
    <row r="61" spans="1:9" x14ac:dyDescent="0.2">
      <c r="A61">
        <v>54213</v>
      </c>
      <c r="B61" t="s">
        <v>27</v>
      </c>
      <c r="C61" t="s">
        <v>8</v>
      </c>
      <c r="D61" t="s">
        <v>28</v>
      </c>
      <c r="E61">
        <v>613</v>
      </c>
      <c r="F61">
        <v>14.39</v>
      </c>
      <c r="G61" t="s">
        <v>29</v>
      </c>
      <c r="H61" t="e">
        <f t="shared" si="0"/>
        <v>#VALUE!</v>
      </c>
      <c r="I61" t="str">
        <f t="shared" si="1"/>
        <v>-</v>
      </c>
    </row>
    <row r="62" spans="1:9" x14ac:dyDescent="0.2">
      <c r="A62">
        <v>54425</v>
      </c>
      <c r="B62" t="s">
        <v>30</v>
      </c>
      <c r="C62" t="s">
        <v>8</v>
      </c>
      <c r="D62" t="s">
        <v>31</v>
      </c>
      <c r="E62">
        <v>2699</v>
      </c>
      <c r="F62">
        <v>2699</v>
      </c>
      <c r="G62" t="s">
        <v>15</v>
      </c>
      <c r="H62" t="str">
        <f t="shared" si="0"/>
        <v>PSI</v>
      </c>
      <c r="I62">
        <f t="shared" si="1"/>
        <v>39.145685413383468</v>
      </c>
    </row>
    <row r="63" spans="1:9" x14ac:dyDescent="0.2">
      <c r="A63">
        <v>54638</v>
      </c>
      <c r="B63" t="s">
        <v>32</v>
      </c>
      <c r="C63" t="s">
        <v>8</v>
      </c>
      <c r="D63" t="s">
        <v>33</v>
      </c>
      <c r="E63">
        <v>3835</v>
      </c>
      <c r="F63">
        <v>0.94</v>
      </c>
      <c r="G63" t="s">
        <v>26</v>
      </c>
      <c r="H63" t="e">
        <f t="shared" si="0"/>
        <v>#VALUE!</v>
      </c>
      <c r="I63" t="str">
        <f t="shared" si="1"/>
        <v>-</v>
      </c>
    </row>
    <row r="64" spans="1:9" x14ac:dyDescent="0.2">
      <c r="A64">
        <v>54849</v>
      </c>
      <c r="B64" t="s">
        <v>34</v>
      </c>
      <c r="C64" t="s">
        <v>8</v>
      </c>
      <c r="D64" t="s">
        <v>35</v>
      </c>
      <c r="E64">
        <v>3807</v>
      </c>
      <c r="F64">
        <v>0.93</v>
      </c>
      <c r="G64" t="s">
        <v>26</v>
      </c>
      <c r="H64" t="e">
        <f t="shared" si="0"/>
        <v>#VALUE!</v>
      </c>
      <c r="I64" t="str">
        <f t="shared" si="1"/>
        <v>-</v>
      </c>
    </row>
    <row r="65" spans="1:9" x14ac:dyDescent="0.2">
      <c r="A65">
        <v>55231</v>
      </c>
      <c r="B65" t="s">
        <v>36</v>
      </c>
      <c r="C65" t="s">
        <v>8</v>
      </c>
      <c r="D65" t="s">
        <v>37</v>
      </c>
      <c r="E65" t="s">
        <v>18</v>
      </c>
      <c r="F65" t="s">
        <v>18</v>
      </c>
      <c r="G65" t="s">
        <v>18</v>
      </c>
      <c r="H65" t="e">
        <f t="shared" si="0"/>
        <v>#VALUE!</v>
      </c>
      <c r="I65" t="str">
        <f t="shared" si="1"/>
        <v>-</v>
      </c>
    </row>
    <row r="66" spans="1:9" x14ac:dyDescent="0.2">
      <c r="A66">
        <v>55603</v>
      </c>
      <c r="B66" t="s">
        <v>38</v>
      </c>
      <c r="C66" t="s">
        <v>8</v>
      </c>
      <c r="D66" t="s">
        <v>39</v>
      </c>
      <c r="E66" t="s">
        <v>18</v>
      </c>
      <c r="F66" t="s">
        <v>18</v>
      </c>
      <c r="G66" t="s">
        <v>18</v>
      </c>
      <c r="H66" t="e">
        <f t="shared" si="0"/>
        <v>#VALUE!</v>
      </c>
      <c r="I66" t="str">
        <f t="shared" si="1"/>
        <v>-</v>
      </c>
    </row>
    <row r="67" spans="1:9" x14ac:dyDescent="0.2">
      <c r="A67">
        <v>55975</v>
      </c>
      <c r="B67" t="s">
        <v>40</v>
      </c>
      <c r="C67" t="s">
        <v>8</v>
      </c>
      <c r="D67" t="s">
        <v>41</v>
      </c>
      <c r="E67" t="s">
        <v>18</v>
      </c>
      <c r="F67" t="s">
        <v>18</v>
      </c>
      <c r="G67" t="s">
        <v>18</v>
      </c>
      <c r="H67" t="e">
        <f t="shared" ref="H67:H130" si="2">IF(FIND("Pa",G67,1),"PSI","-")</f>
        <v>#VALUE!</v>
      </c>
      <c r="I67" t="str">
        <f t="shared" ref="I67:I130" si="3">IF(G67="hPa",CONVERT(F67*100,"Pa","psi"), IF(G67="MPa",CONVERT(F67*1000000,"Pa","psi"),"-"))</f>
        <v>-</v>
      </c>
    </row>
    <row r="68" spans="1:9" x14ac:dyDescent="0.2">
      <c r="A68">
        <v>56187</v>
      </c>
      <c r="B68" t="s">
        <v>42</v>
      </c>
      <c r="C68" t="s">
        <v>8</v>
      </c>
      <c r="D68" t="s">
        <v>43</v>
      </c>
      <c r="E68">
        <v>11199</v>
      </c>
      <c r="F68">
        <v>5.6</v>
      </c>
      <c r="G68" t="s">
        <v>44</v>
      </c>
      <c r="H68" t="str">
        <f t="shared" si="2"/>
        <v>PSI</v>
      </c>
      <c r="I68">
        <f t="shared" si="3"/>
        <v>812.21133128917154</v>
      </c>
    </row>
    <row r="69" spans="1:9" x14ac:dyDescent="0.2">
      <c r="A69">
        <v>56378</v>
      </c>
      <c r="B69" t="s">
        <v>45</v>
      </c>
      <c r="C69" t="s">
        <v>8</v>
      </c>
      <c r="D69" t="s">
        <v>46</v>
      </c>
      <c r="E69">
        <v>1</v>
      </c>
      <c r="F69">
        <v>1</v>
      </c>
      <c r="G69" t="s">
        <v>15</v>
      </c>
      <c r="H69" t="str">
        <f t="shared" si="2"/>
        <v>PSI</v>
      </c>
      <c r="I69">
        <f t="shared" si="3"/>
        <v>1.4503773773020921E-2</v>
      </c>
    </row>
    <row r="70" spans="1:9" x14ac:dyDescent="0.2">
      <c r="A70">
        <v>56590</v>
      </c>
      <c r="B70" t="s">
        <v>47</v>
      </c>
      <c r="C70" t="s">
        <v>8</v>
      </c>
      <c r="D70" t="s">
        <v>48</v>
      </c>
      <c r="E70">
        <v>225</v>
      </c>
      <c r="F70">
        <v>22.5</v>
      </c>
      <c r="G70" t="s">
        <v>49</v>
      </c>
      <c r="H70" t="e">
        <f t="shared" si="2"/>
        <v>#VALUE!</v>
      </c>
      <c r="I70" t="str">
        <f t="shared" si="3"/>
        <v>-</v>
      </c>
    </row>
    <row r="71" spans="1:9" x14ac:dyDescent="0.2">
      <c r="A71">
        <v>56802</v>
      </c>
      <c r="B71" t="s">
        <v>50</v>
      </c>
      <c r="C71" t="s">
        <v>8</v>
      </c>
      <c r="D71" t="s">
        <v>51</v>
      </c>
      <c r="E71">
        <v>24615</v>
      </c>
      <c r="F71">
        <v>961.52</v>
      </c>
      <c r="G71" t="s">
        <v>15</v>
      </c>
      <c r="H71" t="str">
        <f t="shared" si="2"/>
        <v>PSI</v>
      </c>
      <c r="I71">
        <f t="shared" si="3"/>
        <v>13.945668558235075</v>
      </c>
    </row>
    <row r="72" spans="1:9" x14ac:dyDescent="0.2">
      <c r="A72">
        <v>56994</v>
      </c>
      <c r="B72" t="s">
        <v>52</v>
      </c>
      <c r="C72" t="s">
        <v>8</v>
      </c>
      <c r="D72" t="s">
        <v>53</v>
      </c>
      <c r="E72">
        <v>111</v>
      </c>
      <c r="F72">
        <v>35.25</v>
      </c>
      <c r="G72" t="s">
        <v>10</v>
      </c>
      <c r="H72" t="e">
        <f t="shared" si="2"/>
        <v>#VALUE!</v>
      </c>
      <c r="I72" t="str">
        <f t="shared" si="3"/>
        <v>-</v>
      </c>
    </row>
    <row r="73" spans="1:9" x14ac:dyDescent="0.2">
      <c r="A73">
        <v>57186</v>
      </c>
      <c r="B73" t="s">
        <v>54</v>
      </c>
      <c r="C73" t="s">
        <v>8</v>
      </c>
      <c r="D73" t="s">
        <v>55</v>
      </c>
      <c r="E73">
        <v>3</v>
      </c>
      <c r="F73">
        <v>12</v>
      </c>
      <c r="G73" t="s">
        <v>56</v>
      </c>
      <c r="H73" t="e">
        <f t="shared" si="2"/>
        <v>#VALUE!</v>
      </c>
      <c r="I73" t="str">
        <f t="shared" si="3"/>
        <v>-</v>
      </c>
    </row>
    <row r="74" spans="1:9" x14ac:dyDescent="0.2">
      <c r="A74">
        <v>57558</v>
      </c>
      <c r="B74" t="s">
        <v>57</v>
      </c>
      <c r="C74" t="s">
        <v>8</v>
      </c>
      <c r="D74" t="s">
        <v>58</v>
      </c>
      <c r="E74" t="s">
        <v>18</v>
      </c>
      <c r="F74" t="s">
        <v>18</v>
      </c>
      <c r="G74" t="s">
        <v>18</v>
      </c>
      <c r="H74" t="e">
        <f t="shared" si="2"/>
        <v>#VALUE!</v>
      </c>
      <c r="I74" t="str">
        <f t="shared" si="3"/>
        <v>-</v>
      </c>
    </row>
    <row r="75" spans="1:9" x14ac:dyDescent="0.2">
      <c r="A75">
        <v>57930</v>
      </c>
      <c r="B75" t="s">
        <v>59</v>
      </c>
      <c r="C75" t="s">
        <v>8</v>
      </c>
      <c r="D75" t="s">
        <v>60</v>
      </c>
      <c r="E75" t="s">
        <v>18</v>
      </c>
      <c r="F75" t="s">
        <v>18</v>
      </c>
      <c r="G75" t="s">
        <v>18</v>
      </c>
      <c r="H75" t="e">
        <f t="shared" si="2"/>
        <v>#VALUE!</v>
      </c>
      <c r="I75" t="str">
        <f t="shared" si="3"/>
        <v>-</v>
      </c>
    </row>
    <row r="76" spans="1:9" x14ac:dyDescent="0.2">
      <c r="A76">
        <v>58312</v>
      </c>
      <c r="B76" t="s">
        <v>61</v>
      </c>
      <c r="C76" t="s">
        <v>8</v>
      </c>
      <c r="D76" t="s">
        <v>62</v>
      </c>
      <c r="E76" t="s">
        <v>18</v>
      </c>
      <c r="F76" t="s">
        <v>18</v>
      </c>
      <c r="G76" t="s">
        <v>18</v>
      </c>
      <c r="H76" t="e">
        <f t="shared" si="2"/>
        <v>#VALUE!</v>
      </c>
      <c r="I76" t="str">
        <f t="shared" si="3"/>
        <v>-</v>
      </c>
    </row>
    <row r="77" spans="1:9" x14ac:dyDescent="0.2">
      <c r="A77">
        <v>58694</v>
      </c>
      <c r="B77" t="s">
        <v>63</v>
      </c>
      <c r="C77" t="s">
        <v>8</v>
      </c>
      <c r="D77" t="s">
        <v>64</v>
      </c>
      <c r="E77" t="s">
        <v>18</v>
      </c>
      <c r="F77" t="s">
        <v>18</v>
      </c>
      <c r="G77" t="s">
        <v>18</v>
      </c>
      <c r="H77" t="e">
        <f t="shared" si="2"/>
        <v>#VALUE!</v>
      </c>
      <c r="I77" t="str">
        <f t="shared" si="3"/>
        <v>-</v>
      </c>
    </row>
    <row r="78" spans="1:9" x14ac:dyDescent="0.2">
      <c r="A78">
        <v>58956</v>
      </c>
      <c r="B78" t="s">
        <v>65</v>
      </c>
      <c r="C78" t="s">
        <v>8</v>
      </c>
      <c r="D78" t="s">
        <v>66</v>
      </c>
      <c r="E78">
        <v>26609</v>
      </c>
      <c r="F78">
        <v>3.25</v>
      </c>
      <c r="G78" t="s">
        <v>67</v>
      </c>
      <c r="H78" t="e">
        <f t="shared" si="2"/>
        <v>#VALUE!</v>
      </c>
      <c r="I78" t="str">
        <f t="shared" si="3"/>
        <v>-</v>
      </c>
    </row>
    <row r="79" spans="1:9" x14ac:dyDescent="0.2">
      <c r="A79">
        <v>59338</v>
      </c>
      <c r="B79" t="s">
        <v>68</v>
      </c>
      <c r="C79" t="s">
        <v>8</v>
      </c>
      <c r="D79" t="s">
        <v>69</v>
      </c>
      <c r="E79" t="s">
        <v>18</v>
      </c>
      <c r="F79" t="s">
        <v>18</v>
      </c>
      <c r="G79" t="s">
        <v>18</v>
      </c>
      <c r="H79" t="e">
        <f t="shared" si="2"/>
        <v>#VALUE!</v>
      </c>
      <c r="I79" t="str">
        <f t="shared" si="3"/>
        <v>-</v>
      </c>
    </row>
    <row r="80" spans="1:9" x14ac:dyDescent="0.2">
      <c r="A80">
        <v>59530</v>
      </c>
      <c r="B80" t="s">
        <v>7</v>
      </c>
      <c r="C80" t="s">
        <v>8</v>
      </c>
      <c r="D80" t="s">
        <v>9</v>
      </c>
      <c r="E80">
        <v>162</v>
      </c>
      <c r="F80">
        <v>102</v>
      </c>
      <c r="G80" t="s">
        <v>10</v>
      </c>
      <c r="H80" t="e">
        <f t="shared" si="2"/>
        <v>#VALUE!</v>
      </c>
      <c r="I80" t="str">
        <f t="shared" si="3"/>
        <v>-</v>
      </c>
    </row>
    <row r="81" spans="1:9" x14ac:dyDescent="0.2">
      <c r="A81">
        <v>59722</v>
      </c>
      <c r="B81" t="s">
        <v>11</v>
      </c>
      <c r="C81" t="s">
        <v>8</v>
      </c>
      <c r="D81" t="s">
        <v>12</v>
      </c>
      <c r="E81">
        <v>189</v>
      </c>
      <c r="F81">
        <v>93.75</v>
      </c>
      <c r="G81" t="s">
        <v>10</v>
      </c>
      <c r="H81" t="e">
        <f t="shared" si="2"/>
        <v>#VALUE!</v>
      </c>
      <c r="I81" t="str">
        <f t="shared" si="3"/>
        <v>-</v>
      </c>
    </row>
    <row r="82" spans="1:9" x14ac:dyDescent="0.2">
      <c r="A82">
        <v>59945</v>
      </c>
      <c r="B82" t="s">
        <v>13</v>
      </c>
      <c r="C82" t="s">
        <v>8</v>
      </c>
      <c r="D82" t="s">
        <v>14</v>
      </c>
      <c r="E82">
        <v>25902</v>
      </c>
      <c r="F82">
        <v>1011.8</v>
      </c>
      <c r="G82" t="s">
        <v>15</v>
      </c>
      <c r="H82" t="str">
        <f t="shared" si="2"/>
        <v>PSI</v>
      </c>
      <c r="I82">
        <f t="shared" si="3"/>
        <v>14.674918303542567</v>
      </c>
    </row>
    <row r="83" spans="1:9" x14ac:dyDescent="0.2">
      <c r="A83">
        <v>60317</v>
      </c>
      <c r="B83" t="s">
        <v>16</v>
      </c>
      <c r="C83" t="s">
        <v>8</v>
      </c>
      <c r="D83" t="s">
        <v>17</v>
      </c>
      <c r="E83" t="s">
        <v>18</v>
      </c>
      <c r="F83" t="s">
        <v>18</v>
      </c>
      <c r="G83" t="s">
        <v>18</v>
      </c>
      <c r="H83" t="e">
        <f t="shared" si="2"/>
        <v>#VALUE!</v>
      </c>
      <c r="I83" t="str">
        <f t="shared" si="3"/>
        <v>-</v>
      </c>
    </row>
    <row r="84" spans="1:9" x14ac:dyDescent="0.2">
      <c r="A84">
        <v>60529</v>
      </c>
      <c r="B84" t="s">
        <v>19</v>
      </c>
      <c r="C84" t="s">
        <v>8</v>
      </c>
      <c r="D84" t="s">
        <v>20</v>
      </c>
      <c r="E84">
        <v>12861</v>
      </c>
      <c r="F84">
        <v>1004.77</v>
      </c>
      <c r="G84" t="s">
        <v>15</v>
      </c>
      <c r="H84" t="str">
        <f t="shared" si="2"/>
        <v>PSI</v>
      </c>
      <c r="I84">
        <f t="shared" si="3"/>
        <v>14.57295677391823</v>
      </c>
    </row>
    <row r="85" spans="1:9" x14ac:dyDescent="0.2">
      <c r="A85">
        <v>60741</v>
      </c>
      <c r="B85" t="s">
        <v>21</v>
      </c>
      <c r="C85" t="s">
        <v>8</v>
      </c>
      <c r="D85" t="s">
        <v>22</v>
      </c>
      <c r="E85">
        <v>3409</v>
      </c>
      <c r="F85">
        <v>852.25</v>
      </c>
      <c r="G85" t="s">
        <v>23</v>
      </c>
      <c r="H85" t="e">
        <f t="shared" si="2"/>
        <v>#VALUE!</v>
      </c>
      <c r="I85" t="str">
        <f t="shared" si="3"/>
        <v>-</v>
      </c>
    </row>
    <row r="86" spans="1:9" x14ac:dyDescent="0.2">
      <c r="A86">
        <v>60933</v>
      </c>
      <c r="B86" t="s">
        <v>24</v>
      </c>
      <c r="C86" t="s">
        <v>8</v>
      </c>
      <c r="D86" t="s">
        <v>25</v>
      </c>
      <c r="E86">
        <v>2</v>
      </c>
      <c r="F86">
        <v>2</v>
      </c>
      <c r="G86" t="s">
        <v>26</v>
      </c>
      <c r="H86" t="e">
        <f t="shared" si="2"/>
        <v>#VALUE!</v>
      </c>
      <c r="I86" t="str">
        <f t="shared" si="3"/>
        <v>-</v>
      </c>
    </row>
    <row r="87" spans="1:9" x14ac:dyDescent="0.2">
      <c r="A87">
        <v>61145</v>
      </c>
      <c r="B87" t="s">
        <v>27</v>
      </c>
      <c r="C87" t="s">
        <v>8</v>
      </c>
      <c r="D87" t="s">
        <v>28</v>
      </c>
      <c r="E87">
        <v>613</v>
      </c>
      <c r="F87">
        <v>14.39</v>
      </c>
      <c r="G87" t="s">
        <v>29</v>
      </c>
      <c r="H87" t="e">
        <f t="shared" si="2"/>
        <v>#VALUE!</v>
      </c>
      <c r="I87" t="str">
        <f t="shared" si="3"/>
        <v>-</v>
      </c>
    </row>
    <row r="88" spans="1:9" x14ac:dyDescent="0.2">
      <c r="A88">
        <v>61357</v>
      </c>
      <c r="B88" t="s">
        <v>30</v>
      </c>
      <c r="C88" t="s">
        <v>8</v>
      </c>
      <c r="D88" t="s">
        <v>31</v>
      </c>
      <c r="E88">
        <v>2871</v>
      </c>
      <c r="F88">
        <v>2871</v>
      </c>
      <c r="G88" t="s">
        <v>15</v>
      </c>
      <c r="H88" t="str">
        <f t="shared" si="2"/>
        <v>PSI</v>
      </c>
      <c r="I88">
        <f t="shared" si="3"/>
        <v>41.640334502343066</v>
      </c>
    </row>
    <row r="89" spans="1:9" x14ac:dyDescent="0.2">
      <c r="A89">
        <v>61579</v>
      </c>
      <c r="B89" t="s">
        <v>32</v>
      </c>
      <c r="C89" t="s">
        <v>8</v>
      </c>
      <c r="D89" t="s">
        <v>33</v>
      </c>
      <c r="E89">
        <v>17</v>
      </c>
      <c r="F89">
        <v>0</v>
      </c>
      <c r="G89" t="s">
        <v>26</v>
      </c>
      <c r="H89" t="e">
        <f t="shared" si="2"/>
        <v>#VALUE!</v>
      </c>
      <c r="I89" t="str">
        <f t="shared" si="3"/>
        <v>-</v>
      </c>
    </row>
    <row r="90" spans="1:9" x14ac:dyDescent="0.2">
      <c r="A90">
        <v>61820</v>
      </c>
      <c r="B90" t="s">
        <v>34</v>
      </c>
      <c r="C90" t="s">
        <v>8</v>
      </c>
      <c r="D90" t="s">
        <v>35</v>
      </c>
      <c r="E90">
        <v>4130</v>
      </c>
      <c r="F90">
        <v>1.01</v>
      </c>
      <c r="G90" t="s">
        <v>26</v>
      </c>
      <c r="H90" t="e">
        <f t="shared" si="2"/>
        <v>#VALUE!</v>
      </c>
      <c r="I90" t="str">
        <f t="shared" si="3"/>
        <v>-</v>
      </c>
    </row>
    <row r="91" spans="1:9" x14ac:dyDescent="0.2">
      <c r="A91">
        <v>62202</v>
      </c>
      <c r="B91" t="s">
        <v>36</v>
      </c>
      <c r="C91" t="s">
        <v>8</v>
      </c>
      <c r="D91" t="s">
        <v>37</v>
      </c>
      <c r="E91" t="s">
        <v>18</v>
      </c>
      <c r="F91" t="s">
        <v>18</v>
      </c>
      <c r="G91" t="s">
        <v>18</v>
      </c>
      <c r="H91" t="e">
        <f t="shared" si="2"/>
        <v>#VALUE!</v>
      </c>
      <c r="I91" t="str">
        <f t="shared" si="3"/>
        <v>-</v>
      </c>
    </row>
    <row r="92" spans="1:9" x14ac:dyDescent="0.2">
      <c r="A92">
        <v>62584</v>
      </c>
      <c r="B92" t="s">
        <v>38</v>
      </c>
      <c r="C92" t="s">
        <v>8</v>
      </c>
      <c r="D92" t="s">
        <v>39</v>
      </c>
      <c r="E92" t="s">
        <v>18</v>
      </c>
      <c r="F92" t="s">
        <v>18</v>
      </c>
      <c r="G92" t="s">
        <v>18</v>
      </c>
      <c r="H92" t="e">
        <f t="shared" si="2"/>
        <v>#VALUE!</v>
      </c>
      <c r="I92" t="str">
        <f t="shared" si="3"/>
        <v>-</v>
      </c>
    </row>
    <row r="93" spans="1:9" x14ac:dyDescent="0.2">
      <c r="A93">
        <v>62976</v>
      </c>
      <c r="B93" t="s">
        <v>40</v>
      </c>
      <c r="C93" t="s">
        <v>8</v>
      </c>
      <c r="D93" t="s">
        <v>41</v>
      </c>
      <c r="E93" t="s">
        <v>18</v>
      </c>
      <c r="F93" t="s">
        <v>18</v>
      </c>
      <c r="G93" t="s">
        <v>18</v>
      </c>
      <c r="H93" t="e">
        <f t="shared" si="2"/>
        <v>#VALUE!</v>
      </c>
      <c r="I93" t="str">
        <f t="shared" si="3"/>
        <v>-</v>
      </c>
    </row>
    <row r="94" spans="1:9" x14ac:dyDescent="0.2">
      <c r="A94">
        <v>63188</v>
      </c>
      <c r="B94" t="s">
        <v>42</v>
      </c>
      <c r="C94" t="s">
        <v>8</v>
      </c>
      <c r="D94" t="s">
        <v>43</v>
      </c>
      <c r="E94">
        <v>9566</v>
      </c>
      <c r="F94">
        <v>4.78</v>
      </c>
      <c r="G94" t="s">
        <v>44</v>
      </c>
      <c r="H94" t="str">
        <f t="shared" si="2"/>
        <v>PSI</v>
      </c>
      <c r="I94">
        <f t="shared" si="3"/>
        <v>693.28038635040002</v>
      </c>
    </row>
    <row r="95" spans="1:9" x14ac:dyDescent="0.2">
      <c r="A95">
        <v>63380</v>
      </c>
      <c r="B95" t="s">
        <v>45</v>
      </c>
      <c r="C95" t="s">
        <v>8</v>
      </c>
      <c r="D95" t="s">
        <v>46</v>
      </c>
      <c r="E95">
        <v>12</v>
      </c>
      <c r="F95">
        <v>12</v>
      </c>
      <c r="G95" t="s">
        <v>15</v>
      </c>
      <c r="H95" t="str">
        <f t="shared" si="2"/>
        <v>PSI</v>
      </c>
      <c r="I95">
        <f t="shared" si="3"/>
        <v>0.17404528527625104</v>
      </c>
    </row>
    <row r="96" spans="1:9" x14ac:dyDescent="0.2">
      <c r="A96">
        <v>63593</v>
      </c>
      <c r="B96" t="s">
        <v>47</v>
      </c>
      <c r="C96" t="s">
        <v>8</v>
      </c>
      <c r="D96" t="s">
        <v>48</v>
      </c>
      <c r="E96">
        <v>295</v>
      </c>
      <c r="F96">
        <v>29.5</v>
      </c>
      <c r="G96" t="s">
        <v>49</v>
      </c>
      <c r="H96" t="e">
        <f t="shared" si="2"/>
        <v>#VALUE!</v>
      </c>
      <c r="I96" t="str">
        <f t="shared" si="3"/>
        <v>-</v>
      </c>
    </row>
    <row r="97" spans="1:9" x14ac:dyDescent="0.2">
      <c r="A97">
        <v>63805</v>
      </c>
      <c r="B97" t="s">
        <v>50</v>
      </c>
      <c r="C97" t="s">
        <v>8</v>
      </c>
      <c r="D97" t="s">
        <v>51</v>
      </c>
      <c r="E97">
        <v>24490</v>
      </c>
      <c r="F97">
        <v>956.64</v>
      </c>
      <c r="G97" t="s">
        <v>15</v>
      </c>
      <c r="H97" t="str">
        <f t="shared" si="2"/>
        <v>PSI</v>
      </c>
      <c r="I97">
        <f t="shared" si="3"/>
        <v>13.874890142222734</v>
      </c>
    </row>
    <row r="98" spans="1:9" x14ac:dyDescent="0.2">
      <c r="A98">
        <v>63997</v>
      </c>
      <c r="B98" t="s">
        <v>52</v>
      </c>
      <c r="C98" t="s">
        <v>8</v>
      </c>
      <c r="D98" t="s">
        <v>53</v>
      </c>
      <c r="E98">
        <v>110</v>
      </c>
      <c r="F98">
        <v>34.5</v>
      </c>
      <c r="G98" t="s">
        <v>10</v>
      </c>
      <c r="H98" t="e">
        <f t="shared" si="2"/>
        <v>#VALUE!</v>
      </c>
      <c r="I98" t="str">
        <f t="shared" si="3"/>
        <v>-</v>
      </c>
    </row>
    <row r="99" spans="1:9" x14ac:dyDescent="0.2">
      <c r="A99">
        <v>64189</v>
      </c>
      <c r="B99" t="s">
        <v>54</v>
      </c>
      <c r="C99" t="s">
        <v>8</v>
      </c>
      <c r="D99" t="s">
        <v>55</v>
      </c>
      <c r="E99">
        <v>3</v>
      </c>
      <c r="F99">
        <v>12</v>
      </c>
      <c r="G99" t="s">
        <v>56</v>
      </c>
      <c r="H99" t="e">
        <f t="shared" si="2"/>
        <v>#VALUE!</v>
      </c>
      <c r="I99" t="str">
        <f t="shared" si="3"/>
        <v>-</v>
      </c>
    </row>
    <row r="100" spans="1:9" x14ac:dyDescent="0.2">
      <c r="A100">
        <v>64561</v>
      </c>
      <c r="B100" t="s">
        <v>57</v>
      </c>
      <c r="C100" t="s">
        <v>8</v>
      </c>
      <c r="D100" t="s">
        <v>58</v>
      </c>
      <c r="E100" t="s">
        <v>18</v>
      </c>
      <c r="F100" t="s">
        <v>18</v>
      </c>
      <c r="G100" t="s">
        <v>18</v>
      </c>
      <c r="H100" t="e">
        <f t="shared" si="2"/>
        <v>#VALUE!</v>
      </c>
      <c r="I100" t="str">
        <f t="shared" si="3"/>
        <v>-</v>
      </c>
    </row>
    <row r="101" spans="1:9" x14ac:dyDescent="0.2">
      <c r="A101">
        <v>64943</v>
      </c>
      <c r="B101" t="s">
        <v>59</v>
      </c>
      <c r="C101" t="s">
        <v>8</v>
      </c>
      <c r="D101" t="s">
        <v>60</v>
      </c>
      <c r="E101" t="s">
        <v>18</v>
      </c>
      <c r="F101" t="s">
        <v>18</v>
      </c>
      <c r="G101" t="s">
        <v>18</v>
      </c>
      <c r="H101" t="e">
        <f t="shared" si="2"/>
        <v>#VALUE!</v>
      </c>
      <c r="I101" t="str">
        <f t="shared" si="3"/>
        <v>-</v>
      </c>
    </row>
    <row r="102" spans="1:9" x14ac:dyDescent="0.2">
      <c r="A102">
        <v>65335</v>
      </c>
      <c r="B102" t="s">
        <v>61</v>
      </c>
      <c r="C102" t="s">
        <v>8</v>
      </c>
      <c r="D102" t="s">
        <v>62</v>
      </c>
      <c r="E102" t="s">
        <v>18</v>
      </c>
      <c r="F102" t="s">
        <v>18</v>
      </c>
      <c r="G102" t="s">
        <v>18</v>
      </c>
      <c r="H102" t="e">
        <f t="shared" si="2"/>
        <v>#VALUE!</v>
      </c>
      <c r="I102" t="str">
        <f t="shared" si="3"/>
        <v>-</v>
      </c>
    </row>
    <row r="103" spans="1:9" x14ac:dyDescent="0.2">
      <c r="A103">
        <v>65707</v>
      </c>
      <c r="B103" t="s">
        <v>63</v>
      </c>
      <c r="C103" t="s">
        <v>8</v>
      </c>
      <c r="D103" t="s">
        <v>64</v>
      </c>
      <c r="E103" t="s">
        <v>18</v>
      </c>
      <c r="F103" t="s">
        <v>18</v>
      </c>
      <c r="G103" t="s">
        <v>18</v>
      </c>
      <c r="H103" t="e">
        <f t="shared" si="2"/>
        <v>#VALUE!</v>
      </c>
      <c r="I103" t="str">
        <f t="shared" si="3"/>
        <v>-</v>
      </c>
    </row>
    <row r="104" spans="1:9" x14ac:dyDescent="0.2">
      <c r="A104">
        <v>65959</v>
      </c>
      <c r="B104" t="s">
        <v>65</v>
      </c>
      <c r="C104" t="s">
        <v>8</v>
      </c>
      <c r="D104" t="s">
        <v>66</v>
      </c>
      <c r="E104">
        <v>1</v>
      </c>
      <c r="F104">
        <v>0</v>
      </c>
      <c r="G104" t="s">
        <v>67</v>
      </c>
      <c r="H104" t="e">
        <f t="shared" si="2"/>
        <v>#VALUE!</v>
      </c>
      <c r="I104" t="str">
        <f t="shared" si="3"/>
        <v>-</v>
      </c>
    </row>
    <row r="105" spans="1:9" x14ac:dyDescent="0.2">
      <c r="A105">
        <v>66362</v>
      </c>
      <c r="B105" t="s">
        <v>68</v>
      </c>
      <c r="C105" t="s">
        <v>8</v>
      </c>
      <c r="D105" t="s">
        <v>69</v>
      </c>
      <c r="E105" t="s">
        <v>18</v>
      </c>
      <c r="F105" t="s">
        <v>18</v>
      </c>
      <c r="G105" t="s">
        <v>18</v>
      </c>
      <c r="H105" t="e">
        <f t="shared" si="2"/>
        <v>#VALUE!</v>
      </c>
      <c r="I105" t="str">
        <f t="shared" si="3"/>
        <v>-</v>
      </c>
    </row>
    <row r="106" spans="1:9" x14ac:dyDescent="0.2">
      <c r="A106">
        <v>66564</v>
      </c>
      <c r="B106" t="s">
        <v>7</v>
      </c>
      <c r="C106" t="s">
        <v>8</v>
      </c>
      <c r="D106" t="s">
        <v>9</v>
      </c>
      <c r="E106">
        <v>162</v>
      </c>
      <c r="F106">
        <v>102</v>
      </c>
      <c r="G106" t="s">
        <v>10</v>
      </c>
      <c r="H106" t="e">
        <f t="shared" si="2"/>
        <v>#VALUE!</v>
      </c>
      <c r="I106" t="str">
        <f t="shared" si="3"/>
        <v>-</v>
      </c>
    </row>
    <row r="107" spans="1:9" x14ac:dyDescent="0.2">
      <c r="A107">
        <v>66806</v>
      </c>
      <c r="B107" t="s">
        <v>11</v>
      </c>
      <c r="C107" t="s">
        <v>8</v>
      </c>
      <c r="D107" t="s">
        <v>12</v>
      </c>
      <c r="E107">
        <v>191</v>
      </c>
      <c r="F107">
        <v>95.25</v>
      </c>
      <c r="G107" t="s">
        <v>10</v>
      </c>
      <c r="H107" t="e">
        <f t="shared" si="2"/>
        <v>#VALUE!</v>
      </c>
      <c r="I107" t="str">
        <f t="shared" si="3"/>
        <v>-</v>
      </c>
    </row>
    <row r="108" spans="1:9" x14ac:dyDescent="0.2">
      <c r="A108">
        <v>67018</v>
      </c>
      <c r="B108" t="s">
        <v>13</v>
      </c>
      <c r="C108" t="s">
        <v>8</v>
      </c>
      <c r="D108" t="s">
        <v>14</v>
      </c>
      <c r="E108">
        <v>25902</v>
      </c>
      <c r="F108">
        <v>1011.8</v>
      </c>
      <c r="G108" t="s">
        <v>15</v>
      </c>
      <c r="H108" t="str">
        <f t="shared" si="2"/>
        <v>PSI</v>
      </c>
      <c r="I108">
        <f t="shared" si="3"/>
        <v>14.674918303542567</v>
      </c>
    </row>
    <row r="109" spans="1:9" x14ac:dyDescent="0.2">
      <c r="A109">
        <v>67400</v>
      </c>
      <c r="B109" t="s">
        <v>16</v>
      </c>
      <c r="C109" t="s">
        <v>8</v>
      </c>
      <c r="D109" t="s">
        <v>17</v>
      </c>
      <c r="E109" t="s">
        <v>18</v>
      </c>
      <c r="F109" t="s">
        <v>18</v>
      </c>
      <c r="G109" t="s">
        <v>18</v>
      </c>
      <c r="H109" t="e">
        <f t="shared" si="2"/>
        <v>#VALUE!</v>
      </c>
      <c r="I109" t="str">
        <f t="shared" si="3"/>
        <v>-</v>
      </c>
    </row>
    <row r="110" spans="1:9" x14ac:dyDescent="0.2">
      <c r="A110">
        <v>67622</v>
      </c>
      <c r="B110" t="s">
        <v>19</v>
      </c>
      <c r="C110" t="s">
        <v>8</v>
      </c>
      <c r="D110" t="s">
        <v>20</v>
      </c>
      <c r="E110">
        <v>12878</v>
      </c>
      <c r="F110">
        <v>1006.09</v>
      </c>
      <c r="G110" t="s">
        <v>15</v>
      </c>
      <c r="H110" t="str">
        <f t="shared" si="2"/>
        <v>PSI</v>
      </c>
      <c r="I110">
        <f t="shared" si="3"/>
        <v>14.592101755298618</v>
      </c>
    </row>
    <row r="111" spans="1:9" x14ac:dyDescent="0.2">
      <c r="A111">
        <v>67834</v>
      </c>
      <c r="B111" t="s">
        <v>21</v>
      </c>
      <c r="C111" t="s">
        <v>8</v>
      </c>
      <c r="D111" t="s">
        <v>22</v>
      </c>
      <c r="E111">
        <v>2789</v>
      </c>
      <c r="F111">
        <v>697.25</v>
      </c>
      <c r="G111" t="s">
        <v>23</v>
      </c>
      <c r="H111" t="e">
        <f t="shared" si="2"/>
        <v>#VALUE!</v>
      </c>
      <c r="I111" t="str">
        <f t="shared" si="3"/>
        <v>-</v>
      </c>
    </row>
    <row r="112" spans="1:9" x14ac:dyDescent="0.2">
      <c r="A112">
        <v>68026</v>
      </c>
      <c r="B112" t="s">
        <v>24</v>
      </c>
      <c r="C112" t="s">
        <v>8</v>
      </c>
      <c r="D112" t="s">
        <v>25</v>
      </c>
      <c r="E112">
        <v>1</v>
      </c>
      <c r="F112">
        <v>1</v>
      </c>
      <c r="G112" t="s">
        <v>26</v>
      </c>
      <c r="H112" t="e">
        <f t="shared" si="2"/>
        <v>#VALUE!</v>
      </c>
      <c r="I112" t="str">
        <f t="shared" si="3"/>
        <v>-</v>
      </c>
    </row>
    <row r="113" spans="1:9" x14ac:dyDescent="0.2">
      <c r="A113">
        <v>68248</v>
      </c>
      <c r="B113" t="s">
        <v>27</v>
      </c>
      <c r="C113" t="s">
        <v>8</v>
      </c>
      <c r="D113" t="s">
        <v>28</v>
      </c>
      <c r="E113">
        <v>603</v>
      </c>
      <c r="F113">
        <v>14.16</v>
      </c>
      <c r="G113" t="s">
        <v>29</v>
      </c>
      <c r="H113" t="e">
        <f t="shared" si="2"/>
        <v>#VALUE!</v>
      </c>
      <c r="I113" t="str">
        <f t="shared" si="3"/>
        <v>-</v>
      </c>
    </row>
    <row r="114" spans="1:9" x14ac:dyDescent="0.2">
      <c r="A114">
        <v>68470</v>
      </c>
      <c r="B114" t="s">
        <v>30</v>
      </c>
      <c r="C114" t="s">
        <v>8</v>
      </c>
      <c r="D114" t="s">
        <v>31</v>
      </c>
      <c r="E114">
        <v>2745</v>
      </c>
      <c r="F114">
        <v>2745</v>
      </c>
      <c r="G114" t="s">
        <v>15</v>
      </c>
      <c r="H114" t="str">
        <f t="shared" si="2"/>
        <v>PSI</v>
      </c>
      <c r="I114">
        <f t="shared" si="3"/>
        <v>39.812859006942425</v>
      </c>
    </row>
    <row r="115" spans="1:9" x14ac:dyDescent="0.2">
      <c r="A115">
        <v>68682</v>
      </c>
      <c r="B115" t="s">
        <v>32</v>
      </c>
      <c r="C115" t="s">
        <v>8</v>
      </c>
      <c r="D115" t="s">
        <v>33</v>
      </c>
      <c r="E115">
        <v>17</v>
      </c>
      <c r="F115">
        <v>0</v>
      </c>
      <c r="G115" t="s">
        <v>26</v>
      </c>
      <c r="H115" t="e">
        <f t="shared" si="2"/>
        <v>#VALUE!</v>
      </c>
      <c r="I115" t="str">
        <f t="shared" si="3"/>
        <v>-</v>
      </c>
    </row>
    <row r="116" spans="1:9" x14ac:dyDescent="0.2">
      <c r="A116">
        <v>68894</v>
      </c>
      <c r="B116" t="s">
        <v>34</v>
      </c>
      <c r="C116" t="s">
        <v>8</v>
      </c>
      <c r="D116" t="s">
        <v>35</v>
      </c>
      <c r="E116">
        <v>4040</v>
      </c>
      <c r="F116">
        <v>0.99</v>
      </c>
      <c r="G116" t="s">
        <v>26</v>
      </c>
      <c r="H116" t="e">
        <f t="shared" si="2"/>
        <v>#VALUE!</v>
      </c>
      <c r="I116" t="str">
        <f t="shared" si="3"/>
        <v>-</v>
      </c>
    </row>
    <row r="117" spans="1:9" x14ac:dyDescent="0.2">
      <c r="A117">
        <v>69277</v>
      </c>
      <c r="B117" t="s">
        <v>36</v>
      </c>
      <c r="C117" t="s">
        <v>8</v>
      </c>
      <c r="D117" t="s">
        <v>37</v>
      </c>
      <c r="E117" t="s">
        <v>18</v>
      </c>
      <c r="F117" t="s">
        <v>18</v>
      </c>
      <c r="G117" t="s">
        <v>18</v>
      </c>
      <c r="H117" t="e">
        <f t="shared" si="2"/>
        <v>#VALUE!</v>
      </c>
      <c r="I117" t="str">
        <f t="shared" si="3"/>
        <v>-</v>
      </c>
    </row>
    <row r="118" spans="1:9" x14ac:dyDescent="0.2">
      <c r="A118">
        <v>69659</v>
      </c>
      <c r="B118" t="s">
        <v>38</v>
      </c>
      <c r="C118" t="s">
        <v>8</v>
      </c>
      <c r="D118" t="s">
        <v>39</v>
      </c>
      <c r="E118" t="s">
        <v>18</v>
      </c>
      <c r="F118" t="s">
        <v>18</v>
      </c>
      <c r="G118" t="s">
        <v>18</v>
      </c>
      <c r="H118" t="e">
        <f t="shared" si="2"/>
        <v>#VALUE!</v>
      </c>
      <c r="I118" t="str">
        <f t="shared" si="3"/>
        <v>-</v>
      </c>
    </row>
    <row r="119" spans="1:9" x14ac:dyDescent="0.2">
      <c r="A119">
        <v>70051</v>
      </c>
      <c r="B119" t="s">
        <v>40</v>
      </c>
      <c r="C119" t="s">
        <v>8</v>
      </c>
      <c r="D119" t="s">
        <v>41</v>
      </c>
      <c r="E119" t="s">
        <v>18</v>
      </c>
      <c r="F119" t="s">
        <v>18</v>
      </c>
      <c r="G119" t="s">
        <v>18</v>
      </c>
      <c r="H119" t="e">
        <f t="shared" si="2"/>
        <v>#VALUE!</v>
      </c>
      <c r="I119" t="str">
        <f t="shared" si="3"/>
        <v>-</v>
      </c>
    </row>
    <row r="120" spans="1:9" x14ac:dyDescent="0.2">
      <c r="A120">
        <v>70263</v>
      </c>
      <c r="B120" t="s">
        <v>42</v>
      </c>
      <c r="C120" t="s">
        <v>8</v>
      </c>
      <c r="D120" t="s">
        <v>43</v>
      </c>
      <c r="E120">
        <v>10520</v>
      </c>
      <c r="F120">
        <v>5.26</v>
      </c>
      <c r="G120" t="s">
        <v>44</v>
      </c>
      <c r="H120" t="str">
        <f t="shared" si="2"/>
        <v>PSI</v>
      </c>
      <c r="I120">
        <f t="shared" si="3"/>
        <v>762.89850046090044</v>
      </c>
    </row>
    <row r="121" spans="1:9" x14ac:dyDescent="0.2">
      <c r="A121">
        <v>70455</v>
      </c>
      <c r="B121" t="s">
        <v>45</v>
      </c>
      <c r="C121" t="s">
        <v>8</v>
      </c>
      <c r="D121" t="s">
        <v>46</v>
      </c>
      <c r="E121">
        <v>1</v>
      </c>
      <c r="F121">
        <v>1</v>
      </c>
      <c r="G121" t="s">
        <v>15</v>
      </c>
      <c r="H121" t="str">
        <f t="shared" si="2"/>
        <v>PSI</v>
      </c>
      <c r="I121">
        <f t="shared" si="3"/>
        <v>1.4503773773020921E-2</v>
      </c>
    </row>
    <row r="122" spans="1:9" x14ac:dyDescent="0.2">
      <c r="A122">
        <v>70667</v>
      </c>
      <c r="B122" t="s">
        <v>47</v>
      </c>
      <c r="C122" t="s">
        <v>8</v>
      </c>
      <c r="D122" t="s">
        <v>48</v>
      </c>
      <c r="E122">
        <v>366</v>
      </c>
      <c r="F122">
        <v>36.6</v>
      </c>
      <c r="G122" t="s">
        <v>49</v>
      </c>
      <c r="H122" t="e">
        <f t="shared" si="2"/>
        <v>#VALUE!</v>
      </c>
      <c r="I122" t="str">
        <f t="shared" si="3"/>
        <v>-</v>
      </c>
    </row>
    <row r="123" spans="1:9" x14ac:dyDescent="0.2">
      <c r="A123">
        <v>70879</v>
      </c>
      <c r="B123" t="s">
        <v>50</v>
      </c>
      <c r="C123" t="s">
        <v>8</v>
      </c>
      <c r="D123" t="s">
        <v>51</v>
      </c>
      <c r="E123">
        <v>24372</v>
      </c>
      <c r="F123">
        <v>952.03</v>
      </c>
      <c r="G123" t="s">
        <v>15</v>
      </c>
      <c r="H123" t="str">
        <f t="shared" si="2"/>
        <v>PSI</v>
      </c>
      <c r="I123">
        <f t="shared" si="3"/>
        <v>13.808027745129108</v>
      </c>
    </row>
    <row r="124" spans="1:9" x14ac:dyDescent="0.2">
      <c r="A124">
        <v>71081</v>
      </c>
      <c r="B124" t="s">
        <v>52</v>
      </c>
      <c r="C124" t="s">
        <v>8</v>
      </c>
      <c r="D124" t="s">
        <v>53</v>
      </c>
      <c r="E124">
        <v>110</v>
      </c>
      <c r="F124">
        <v>34.5</v>
      </c>
      <c r="G124" t="s">
        <v>10</v>
      </c>
      <c r="H124" t="e">
        <f t="shared" si="2"/>
        <v>#VALUE!</v>
      </c>
      <c r="I124" t="str">
        <f t="shared" si="3"/>
        <v>-</v>
      </c>
    </row>
    <row r="125" spans="1:9" x14ac:dyDescent="0.2">
      <c r="A125">
        <v>71273</v>
      </c>
      <c r="B125" t="s">
        <v>54</v>
      </c>
      <c r="C125" t="s">
        <v>8</v>
      </c>
      <c r="D125" t="s">
        <v>55</v>
      </c>
      <c r="E125">
        <v>3</v>
      </c>
      <c r="F125">
        <v>12</v>
      </c>
      <c r="G125" t="s">
        <v>56</v>
      </c>
      <c r="H125" t="e">
        <f t="shared" si="2"/>
        <v>#VALUE!</v>
      </c>
      <c r="I125" t="str">
        <f t="shared" si="3"/>
        <v>-</v>
      </c>
    </row>
    <row r="126" spans="1:9" x14ac:dyDescent="0.2">
      <c r="A126">
        <v>71655</v>
      </c>
      <c r="B126" t="s">
        <v>57</v>
      </c>
      <c r="C126" t="s">
        <v>8</v>
      </c>
      <c r="D126" t="s">
        <v>58</v>
      </c>
      <c r="E126" t="s">
        <v>18</v>
      </c>
      <c r="F126" t="s">
        <v>18</v>
      </c>
      <c r="G126" t="s">
        <v>18</v>
      </c>
      <c r="H126" t="e">
        <f t="shared" si="2"/>
        <v>#VALUE!</v>
      </c>
      <c r="I126" t="str">
        <f t="shared" si="3"/>
        <v>-</v>
      </c>
    </row>
    <row r="127" spans="1:9" x14ac:dyDescent="0.2">
      <c r="A127">
        <v>72037</v>
      </c>
      <c r="B127" t="s">
        <v>59</v>
      </c>
      <c r="C127" t="s">
        <v>8</v>
      </c>
      <c r="D127" t="s">
        <v>60</v>
      </c>
      <c r="E127" t="s">
        <v>18</v>
      </c>
      <c r="F127" t="s">
        <v>18</v>
      </c>
      <c r="G127" t="s">
        <v>18</v>
      </c>
      <c r="H127" t="e">
        <f t="shared" si="2"/>
        <v>#VALUE!</v>
      </c>
      <c r="I127" t="str">
        <f t="shared" si="3"/>
        <v>-</v>
      </c>
    </row>
    <row r="128" spans="1:9" x14ac:dyDescent="0.2">
      <c r="A128">
        <v>72419</v>
      </c>
      <c r="B128" t="s">
        <v>61</v>
      </c>
      <c r="C128" t="s">
        <v>8</v>
      </c>
      <c r="D128" t="s">
        <v>62</v>
      </c>
      <c r="E128" t="s">
        <v>18</v>
      </c>
      <c r="F128" t="s">
        <v>18</v>
      </c>
      <c r="G128" t="s">
        <v>18</v>
      </c>
      <c r="H128" t="e">
        <f t="shared" si="2"/>
        <v>#VALUE!</v>
      </c>
      <c r="I128" t="str">
        <f t="shared" si="3"/>
        <v>-</v>
      </c>
    </row>
    <row r="129" spans="1:9" x14ac:dyDescent="0.2">
      <c r="A129">
        <v>72821</v>
      </c>
      <c r="B129" t="s">
        <v>63</v>
      </c>
      <c r="C129" t="s">
        <v>8</v>
      </c>
      <c r="D129" t="s">
        <v>64</v>
      </c>
      <c r="E129" t="s">
        <v>18</v>
      </c>
      <c r="F129" t="s">
        <v>18</v>
      </c>
      <c r="G129" t="s">
        <v>18</v>
      </c>
      <c r="H129" t="e">
        <f t="shared" si="2"/>
        <v>#VALUE!</v>
      </c>
      <c r="I129" t="str">
        <f t="shared" si="3"/>
        <v>-</v>
      </c>
    </row>
    <row r="130" spans="1:9" x14ac:dyDescent="0.2">
      <c r="A130">
        <v>73093</v>
      </c>
      <c r="B130" t="s">
        <v>65</v>
      </c>
      <c r="C130" t="s">
        <v>8</v>
      </c>
      <c r="D130" t="s">
        <v>66</v>
      </c>
      <c r="E130">
        <v>26638</v>
      </c>
      <c r="F130">
        <v>3.25</v>
      </c>
      <c r="G130" t="s">
        <v>67</v>
      </c>
      <c r="H130" t="e">
        <f t="shared" si="2"/>
        <v>#VALUE!</v>
      </c>
      <c r="I130" t="str">
        <f t="shared" si="3"/>
        <v>-</v>
      </c>
    </row>
    <row r="131" spans="1:9" x14ac:dyDescent="0.2">
      <c r="A131">
        <v>73476</v>
      </c>
      <c r="B131" t="s">
        <v>68</v>
      </c>
      <c r="C131" t="s">
        <v>8</v>
      </c>
      <c r="D131" t="s">
        <v>69</v>
      </c>
      <c r="E131" t="s">
        <v>18</v>
      </c>
      <c r="F131" t="s">
        <v>18</v>
      </c>
      <c r="G131" t="s">
        <v>18</v>
      </c>
      <c r="H131" t="e">
        <f t="shared" ref="H131:H194" si="4">IF(FIND("Pa",G131,1),"PSI","-")</f>
        <v>#VALUE!</v>
      </c>
      <c r="I131" t="str">
        <f t="shared" ref="I131:I194" si="5">IF(G131="hPa",CONVERT(F131*100,"Pa","psi"), IF(G131="MPa",CONVERT(F131*1000000,"Pa","psi"),"-"))</f>
        <v>-</v>
      </c>
    </row>
    <row r="132" spans="1:9" x14ac:dyDescent="0.2">
      <c r="A132">
        <v>73678</v>
      </c>
      <c r="B132" t="s">
        <v>7</v>
      </c>
      <c r="C132" t="s">
        <v>8</v>
      </c>
      <c r="D132" t="s">
        <v>9</v>
      </c>
      <c r="E132">
        <v>162</v>
      </c>
      <c r="F132">
        <v>102</v>
      </c>
      <c r="G132" t="s">
        <v>10</v>
      </c>
      <c r="H132" t="e">
        <f t="shared" si="4"/>
        <v>#VALUE!</v>
      </c>
      <c r="I132" t="str">
        <f t="shared" si="5"/>
        <v>-</v>
      </c>
    </row>
    <row r="133" spans="1:9" x14ac:dyDescent="0.2">
      <c r="A133">
        <v>73880</v>
      </c>
      <c r="B133" t="s">
        <v>11</v>
      </c>
      <c r="C133" t="s">
        <v>8</v>
      </c>
      <c r="D133" t="s">
        <v>12</v>
      </c>
      <c r="E133">
        <v>193</v>
      </c>
      <c r="F133">
        <v>96.75</v>
      </c>
      <c r="G133" t="s">
        <v>10</v>
      </c>
      <c r="H133" t="e">
        <f t="shared" si="4"/>
        <v>#VALUE!</v>
      </c>
      <c r="I133" t="str">
        <f t="shared" si="5"/>
        <v>-</v>
      </c>
    </row>
    <row r="134" spans="1:9" x14ac:dyDescent="0.2">
      <c r="A134">
        <v>74092</v>
      </c>
      <c r="B134" t="s">
        <v>13</v>
      </c>
      <c r="C134" t="s">
        <v>8</v>
      </c>
      <c r="D134" t="s">
        <v>14</v>
      </c>
      <c r="E134">
        <v>25902</v>
      </c>
      <c r="F134">
        <v>1011.8</v>
      </c>
      <c r="G134" t="s">
        <v>15</v>
      </c>
      <c r="H134" t="str">
        <f t="shared" si="4"/>
        <v>PSI</v>
      </c>
      <c r="I134">
        <f t="shared" si="5"/>
        <v>14.674918303542567</v>
      </c>
    </row>
    <row r="135" spans="1:9" x14ac:dyDescent="0.2">
      <c r="A135">
        <v>74475</v>
      </c>
      <c r="B135" t="s">
        <v>16</v>
      </c>
      <c r="C135" t="s">
        <v>8</v>
      </c>
      <c r="D135" t="s">
        <v>17</v>
      </c>
      <c r="E135" t="s">
        <v>18</v>
      </c>
      <c r="F135" t="s">
        <v>18</v>
      </c>
      <c r="G135" t="s">
        <v>18</v>
      </c>
      <c r="H135" t="e">
        <f t="shared" si="4"/>
        <v>#VALUE!</v>
      </c>
      <c r="I135" t="str">
        <f t="shared" si="5"/>
        <v>-</v>
      </c>
    </row>
    <row r="136" spans="1:9" x14ac:dyDescent="0.2">
      <c r="A136">
        <v>74697</v>
      </c>
      <c r="B136" t="s">
        <v>19</v>
      </c>
      <c r="C136" t="s">
        <v>8</v>
      </c>
      <c r="D136" t="s">
        <v>20</v>
      </c>
      <c r="E136">
        <v>12925</v>
      </c>
      <c r="F136">
        <v>1009.77</v>
      </c>
      <c r="G136" t="s">
        <v>15</v>
      </c>
      <c r="H136" t="str">
        <f t="shared" si="4"/>
        <v>PSI</v>
      </c>
      <c r="I136">
        <f t="shared" si="5"/>
        <v>14.645475642783335</v>
      </c>
    </row>
    <row r="137" spans="1:9" x14ac:dyDescent="0.2">
      <c r="A137">
        <v>74899</v>
      </c>
      <c r="B137" t="s">
        <v>21</v>
      </c>
      <c r="C137" t="s">
        <v>8</v>
      </c>
      <c r="D137" t="s">
        <v>22</v>
      </c>
      <c r="E137">
        <v>3277</v>
      </c>
      <c r="F137">
        <v>819.25</v>
      </c>
      <c r="G137" t="s">
        <v>23</v>
      </c>
      <c r="H137" t="e">
        <f t="shared" si="4"/>
        <v>#VALUE!</v>
      </c>
      <c r="I137" t="str">
        <f t="shared" si="5"/>
        <v>-</v>
      </c>
    </row>
    <row r="138" spans="1:9" x14ac:dyDescent="0.2">
      <c r="A138">
        <v>75101</v>
      </c>
      <c r="B138" t="s">
        <v>24</v>
      </c>
      <c r="C138" t="s">
        <v>8</v>
      </c>
      <c r="D138" t="s">
        <v>25</v>
      </c>
      <c r="E138">
        <v>8</v>
      </c>
      <c r="F138">
        <v>8</v>
      </c>
      <c r="G138" t="s">
        <v>26</v>
      </c>
      <c r="H138" t="e">
        <f t="shared" si="4"/>
        <v>#VALUE!</v>
      </c>
      <c r="I138" t="str">
        <f t="shared" si="5"/>
        <v>-</v>
      </c>
    </row>
    <row r="139" spans="1:9" x14ac:dyDescent="0.2">
      <c r="A139">
        <v>75313</v>
      </c>
      <c r="B139" t="s">
        <v>27</v>
      </c>
      <c r="C139" t="s">
        <v>8</v>
      </c>
      <c r="D139" t="s">
        <v>28</v>
      </c>
      <c r="E139">
        <v>611</v>
      </c>
      <c r="F139">
        <v>14.35</v>
      </c>
      <c r="G139" t="s">
        <v>29</v>
      </c>
      <c r="H139" t="e">
        <f t="shared" si="4"/>
        <v>#VALUE!</v>
      </c>
      <c r="I139" t="str">
        <f t="shared" si="5"/>
        <v>-</v>
      </c>
    </row>
    <row r="140" spans="1:9" x14ac:dyDescent="0.2">
      <c r="A140">
        <v>75565</v>
      </c>
      <c r="B140" t="s">
        <v>30</v>
      </c>
      <c r="C140" t="s">
        <v>8</v>
      </c>
      <c r="D140" t="s">
        <v>31</v>
      </c>
      <c r="E140">
        <v>2781</v>
      </c>
      <c r="F140">
        <v>2781</v>
      </c>
      <c r="G140" t="s">
        <v>15</v>
      </c>
      <c r="H140" t="str">
        <f t="shared" si="4"/>
        <v>PSI</v>
      </c>
      <c r="I140">
        <f t="shared" si="5"/>
        <v>40.334994862771183</v>
      </c>
    </row>
    <row r="141" spans="1:9" x14ac:dyDescent="0.2">
      <c r="A141">
        <v>75777</v>
      </c>
      <c r="B141" t="s">
        <v>32</v>
      </c>
      <c r="C141" t="s">
        <v>8</v>
      </c>
      <c r="D141" t="s">
        <v>33</v>
      </c>
      <c r="E141">
        <v>4094</v>
      </c>
      <c r="F141">
        <v>1</v>
      </c>
      <c r="G141" t="s">
        <v>26</v>
      </c>
      <c r="H141" t="e">
        <f t="shared" si="4"/>
        <v>#VALUE!</v>
      </c>
      <c r="I141" t="str">
        <f t="shared" si="5"/>
        <v>-</v>
      </c>
    </row>
    <row r="142" spans="1:9" x14ac:dyDescent="0.2">
      <c r="A142">
        <v>75989</v>
      </c>
      <c r="B142" t="s">
        <v>34</v>
      </c>
      <c r="C142" t="s">
        <v>8</v>
      </c>
      <c r="D142" t="s">
        <v>35</v>
      </c>
      <c r="E142">
        <v>4088</v>
      </c>
      <c r="F142">
        <v>1</v>
      </c>
      <c r="G142" t="s">
        <v>26</v>
      </c>
      <c r="H142" t="e">
        <f t="shared" si="4"/>
        <v>#VALUE!</v>
      </c>
      <c r="I142" t="str">
        <f t="shared" si="5"/>
        <v>-</v>
      </c>
    </row>
    <row r="143" spans="1:9" x14ac:dyDescent="0.2">
      <c r="A143">
        <v>76371</v>
      </c>
      <c r="B143" t="s">
        <v>36</v>
      </c>
      <c r="C143" t="s">
        <v>8</v>
      </c>
      <c r="D143" t="s">
        <v>37</v>
      </c>
      <c r="E143" t="s">
        <v>18</v>
      </c>
      <c r="F143" t="s">
        <v>18</v>
      </c>
      <c r="G143" t="s">
        <v>18</v>
      </c>
      <c r="H143" t="e">
        <f t="shared" si="4"/>
        <v>#VALUE!</v>
      </c>
      <c r="I143" t="str">
        <f t="shared" si="5"/>
        <v>-</v>
      </c>
    </row>
    <row r="144" spans="1:9" x14ac:dyDescent="0.2">
      <c r="A144">
        <v>76743</v>
      </c>
      <c r="B144" t="s">
        <v>38</v>
      </c>
      <c r="C144" t="s">
        <v>8</v>
      </c>
      <c r="D144" t="s">
        <v>39</v>
      </c>
      <c r="E144" t="s">
        <v>18</v>
      </c>
      <c r="F144" t="s">
        <v>18</v>
      </c>
      <c r="G144" t="s">
        <v>18</v>
      </c>
      <c r="H144" t="e">
        <f t="shared" si="4"/>
        <v>#VALUE!</v>
      </c>
      <c r="I144" t="str">
        <f t="shared" si="5"/>
        <v>-</v>
      </c>
    </row>
    <row r="145" spans="1:9" x14ac:dyDescent="0.2">
      <c r="A145">
        <v>77125</v>
      </c>
      <c r="B145" t="s">
        <v>40</v>
      </c>
      <c r="C145" t="s">
        <v>8</v>
      </c>
      <c r="D145" t="s">
        <v>41</v>
      </c>
      <c r="E145" t="s">
        <v>18</v>
      </c>
      <c r="F145" t="s">
        <v>18</v>
      </c>
      <c r="G145" t="s">
        <v>18</v>
      </c>
      <c r="H145" t="e">
        <f t="shared" si="4"/>
        <v>#VALUE!</v>
      </c>
      <c r="I145" t="str">
        <f t="shared" si="5"/>
        <v>-</v>
      </c>
    </row>
    <row r="146" spans="1:9" x14ac:dyDescent="0.2">
      <c r="A146">
        <v>77347</v>
      </c>
      <c r="B146" t="s">
        <v>42</v>
      </c>
      <c r="C146" t="s">
        <v>8</v>
      </c>
      <c r="D146" t="s">
        <v>43</v>
      </c>
      <c r="E146">
        <v>11523</v>
      </c>
      <c r="F146">
        <v>5.76</v>
      </c>
      <c r="G146" t="s">
        <v>44</v>
      </c>
      <c r="H146" t="str">
        <f t="shared" si="4"/>
        <v>PSI</v>
      </c>
      <c r="I146">
        <f t="shared" si="5"/>
        <v>835.41736932600509</v>
      </c>
    </row>
    <row r="147" spans="1:9" x14ac:dyDescent="0.2">
      <c r="A147">
        <v>77539</v>
      </c>
      <c r="B147" t="s">
        <v>45</v>
      </c>
      <c r="C147" t="s">
        <v>8</v>
      </c>
      <c r="D147" t="s">
        <v>46</v>
      </c>
      <c r="E147">
        <v>8</v>
      </c>
      <c r="F147">
        <v>8</v>
      </c>
      <c r="G147" t="s">
        <v>15</v>
      </c>
      <c r="H147" t="str">
        <f t="shared" si="4"/>
        <v>PSI</v>
      </c>
      <c r="I147">
        <f t="shared" si="5"/>
        <v>0.11603019018416737</v>
      </c>
    </row>
    <row r="148" spans="1:9" x14ac:dyDescent="0.2">
      <c r="A148">
        <v>77770</v>
      </c>
      <c r="B148" t="s">
        <v>47</v>
      </c>
      <c r="C148" t="s">
        <v>8</v>
      </c>
      <c r="D148" t="s">
        <v>48</v>
      </c>
      <c r="E148">
        <v>437</v>
      </c>
      <c r="F148">
        <v>43.7</v>
      </c>
      <c r="G148" t="s">
        <v>49</v>
      </c>
      <c r="H148" t="e">
        <f t="shared" si="4"/>
        <v>#VALUE!</v>
      </c>
      <c r="I148" t="str">
        <f t="shared" si="5"/>
        <v>-</v>
      </c>
    </row>
    <row r="149" spans="1:9" x14ac:dyDescent="0.2">
      <c r="A149">
        <v>77982</v>
      </c>
      <c r="B149" t="s">
        <v>50</v>
      </c>
      <c r="C149" t="s">
        <v>8</v>
      </c>
      <c r="D149" t="s">
        <v>51</v>
      </c>
      <c r="E149">
        <v>24465</v>
      </c>
      <c r="F149">
        <v>955.66</v>
      </c>
      <c r="G149" t="s">
        <v>15</v>
      </c>
      <c r="H149" t="str">
        <f t="shared" si="4"/>
        <v>PSI</v>
      </c>
      <c r="I149">
        <f t="shared" si="5"/>
        <v>13.860676443925174</v>
      </c>
    </row>
    <row r="150" spans="1:9" x14ac:dyDescent="0.2">
      <c r="A150">
        <v>78174</v>
      </c>
      <c r="B150" t="s">
        <v>52</v>
      </c>
      <c r="C150" t="s">
        <v>8</v>
      </c>
      <c r="D150" t="s">
        <v>53</v>
      </c>
      <c r="E150">
        <v>109</v>
      </c>
      <c r="F150">
        <v>33.75</v>
      </c>
      <c r="G150" t="s">
        <v>10</v>
      </c>
      <c r="H150" t="e">
        <f t="shared" si="4"/>
        <v>#VALUE!</v>
      </c>
      <c r="I150" t="str">
        <f t="shared" si="5"/>
        <v>-</v>
      </c>
    </row>
    <row r="151" spans="1:9" x14ac:dyDescent="0.2">
      <c r="A151">
        <v>78366</v>
      </c>
      <c r="B151" t="s">
        <v>54</v>
      </c>
      <c r="C151" t="s">
        <v>8</v>
      </c>
      <c r="D151" t="s">
        <v>55</v>
      </c>
      <c r="E151">
        <v>4</v>
      </c>
      <c r="F151">
        <v>16</v>
      </c>
      <c r="G151" t="s">
        <v>56</v>
      </c>
      <c r="H151" t="e">
        <f t="shared" si="4"/>
        <v>#VALUE!</v>
      </c>
      <c r="I151" t="str">
        <f t="shared" si="5"/>
        <v>-</v>
      </c>
    </row>
    <row r="152" spans="1:9" x14ac:dyDescent="0.2">
      <c r="A152">
        <v>78748</v>
      </c>
      <c r="B152" t="s">
        <v>57</v>
      </c>
      <c r="C152" t="s">
        <v>8</v>
      </c>
      <c r="D152" t="s">
        <v>58</v>
      </c>
      <c r="E152" t="s">
        <v>18</v>
      </c>
      <c r="F152" t="s">
        <v>18</v>
      </c>
      <c r="G152" t="s">
        <v>18</v>
      </c>
      <c r="H152" t="e">
        <f t="shared" si="4"/>
        <v>#VALUE!</v>
      </c>
      <c r="I152" t="str">
        <f t="shared" si="5"/>
        <v>-</v>
      </c>
    </row>
    <row r="153" spans="1:9" x14ac:dyDescent="0.2">
      <c r="A153">
        <v>79120</v>
      </c>
      <c r="B153" t="s">
        <v>59</v>
      </c>
      <c r="C153" t="s">
        <v>8</v>
      </c>
      <c r="D153" t="s">
        <v>60</v>
      </c>
      <c r="E153" t="s">
        <v>18</v>
      </c>
      <c r="F153" t="s">
        <v>18</v>
      </c>
      <c r="G153" t="s">
        <v>18</v>
      </c>
      <c r="H153" t="e">
        <f t="shared" si="4"/>
        <v>#VALUE!</v>
      </c>
      <c r="I153" t="str">
        <f t="shared" si="5"/>
        <v>-</v>
      </c>
    </row>
    <row r="154" spans="1:9" x14ac:dyDescent="0.2">
      <c r="A154">
        <v>79502</v>
      </c>
      <c r="B154" t="s">
        <v>61</v>
      </c>
      <c r="C154" t="s">
        <v>8</v>
      </c>
      <c r="D154" t="s">
        <v>62</v>
      </c>
      <c r="E154" t="s">
        <v>18</v>
      </c>
      <c r="F154" t="s">
        <v>18</v>
      </c>
      <c r="G154" t="s">
        <v>18</v>
      </c>
      <c r="H154" t="e">
        <f t="shared" si="4"/>
        <v>#VALUE!</v>
      </c>
      <c r="I154" t="str">
        <f t="shared" si="5"/>
        <v>-</v>
      </c>
    </row>
    <row r="155" spans="1:9" x14ac:dyDescent="0.2">
      <c r="A155">
        <v>79884</v>
      </c>
      <c r="B155" t="s">
        <v>63</v>
      </c>
      <c r="C155" t="s">
        <v>8</v>
      </c>
      <c r="D155" t="s">
        <v>64</v>
      </c>
      <c r="E155" t="s">
        <v>18</v>
      </c>
      <c r="F155" t="s">
        <v>18</v>
      </c>
      <c r="G155" t="s">
        <v>18</v>
      </c>
      <c r="H155" t="e">
        <f t="shared" si="4"/>
        <v>#VALUE!</v>
      </c>
      <c r="I155" t="str">
        <f t="shared" si="5"/>
        <v>-</v>
      </c>
    </row>
    <row r="156" spans="1:9" x14ac:dyDescent="0.2">
      <c r="A156">
        <v>80135</v>
      </c>
      <c r="B156" t="s">
        <v>65</v>
      </c>
      <c r="C156" t="s">
        <v>8</v>
      </c>
      <c r="D156" t="s">
        <v>66</v>
      </c>
      <c r="E156">
        <v>26663</v>
      </c>
      <c r="F156">
        <v>3.25</v>
      </c>
      <c r="G156" t="s">
        <v>67</v>
      </c>
      <c r="H156" t="e">
        <f t="shared" si="4"/>
        <v>#VALUE!</v>
      </c>
      <c r="I156" t="str">
        <f t="shared" si="5"/>
        <v>-</v>
      </c>
    </row>
    <row r="157" spans="1:9" x14ac:dyDescent="0.2">
      <c r="A157">
        <v>80518</v>
      </c>
      <c r="B157" t="s">
        <v>68</v>
      </c>
      <c r="C157" t="s">
        <v>8</v>
      </c>
      <c r="D157" t="s">
        <v>69</v>
      </c>
      <c r="E157" t="s">
        <v>18</v>
      </c>
      <c r="F157" t="s">
        <v>18</v>
      </c>
      <c r="G157" t="s">
        <v>18</v>
      </c>
      <c r="H157" t="e">
        <f t="shared" si="4"/>
        <v>#VALUE!</v>
      </c>
      <c r="I157" t="str">
        <f t="shared" si="5"/>
        <v>-</v>
      </c>
    </row>
    <row r="158" spans="1:9" x14ac:dyDescent="0.2">
      <c r="A158">
        <v>80720</v>
      </c>
      <c r="B158" t="s">
        <v>7</v>
      </c>
      <c r="C158" t="s">
        <v>8</v>
      </c>
      <c r="D158" t="s">
        <v>9</v>
      </c>
      <c r="E158">
        <v>161</v>
      </c>
      <c r="F158">
        <v>101</v>
      </c>
      <c r="G158" t="s">
        <v>10</v>
      </c>
      <c r="H158" t="e">
        <f t="shared" si="4"/>
        <v>#VALUE!</v>
      </c>
      <c r="I158" t="str">
        <f t="shared" si="5"/>
        <v>-</v>
      </c>
    </row>
    <row r="159" spans="1:9" x14ac:dyDescent="0.2">
      <c r="A159">
        <v>80912</v>
      </c>
      <c r="B159" t="s">
        <v>11</v>
      </c>
      <c r="C159" t="s">
        <v>8</v>
      </c>
      <c r="D159" t="s">
        <v>12</v>
      </c>
      <c r="E159">
        <v>195</v>
      </c>
      <c r="F159">
        <v>98.25</v>
      </c>
      <c r="G159" t="s">
        <v>10</v>
      </c>
      <c r="H159" t="e">
        <f t="shared" si="4"/>
        <v>#VALUE!</v>
      </c>
      <c r="I159" t="str">
        <f t="shared" si="5"/>
        <v>-</v>
      </c>
    </row>
    <row r="160" spans="1:9" x14ac:dyDescent="0.2">
      <c r="A160">
        <v>81124</v>
      </c>
      <c r="B160" t="s">
        <v>13</v>
      </c>
      <c r="C160" t="s">
        <v>8</v>
      </c>
      <c r="D160" t="s">
        <v>14</v>
      </c>
      <c r="E160">
        <v>25902</v>
      </c>
      <c r="F160">
        <v>1011.8</v>
      </c>
      <c r="G160" t="s">
        <v>15</v>
      </c>
      <c r="H160" t="str">
        <f t="shared" si="4"/>
        <v>PSI</v>
      </c>
      <c r="I160">
        <f t="shared" si="5"/>
        <v>14.674918303542567</v>
      </c>
    </row>
    <row r="161" spans="1:9" x14ac:dyDescent="0.2">
      <c r="A161">
        <v>81516</v>
      </c>
      <c r="B161" t="s">
        <v>16</v>
      </c>
      <c r="C161" t="s">
        <v>8</v>
      </c>
      <c r="D161" t="s">
        <v>17</v>
      </c>
      <c r="E161" t="s">
        <v>18</v>
      </c>
      <c r="F161" t="s">
        <v>18</v>
      </c>
      <c r="G161" t="s">
        <v>18</v>
      </c>
      <c r="H161" t="e">
        <f t="shared" si="4"/>
        <v>#VALUE!</v>
      </c>
      <c r="I161" t="str">
        <f t="shared" si="5"/>
        <v>-</v>
      </c>
    </row>
    <row r="162" spans="1:9" x14ac:dyDescent="0.2">
      <c r="A162">
        <v>81728</v>
      </c>
      <c r="B162" t="s">
        <v>19</v>
      </c>
      <c r="C162" t="s">
        <v>8</v>
      </c>
      <c r="D162" t="s">
        <v>20</v>
      </c>
      <c r="E162">
        <v>12857</v>
      </c>
      <c r="F162">
        <v>1004.45</v>
      </c>
      <c r="G162" t="s">
        <v>15</v>
      </c>
      <c r="H162" t="str">
        <f t="shared" si="4"/>
        <v>PSI</v>
      </c>
      <c r="I162">
        <f t="shared" si="5"/>
        <v>14.568315566310863</v>
      </c>
    </row>
    <row r="163" spans="1:9" x14ac:dyDescent="0.2">
      <c r="A163">
        <v>81940</v>
      </c>
      <c r="B163" t="s">
        <v>21</v>
      </c>
      <c r="C163" t="s">
        <v>8</v>
      </c>
      <c r="D163" t="s">
        <v>22</v>
      </c>
      <c r="E163">
        <v>5583</v>
      </c>
      <c r="F163">
        <v>1395.75</v>
      </c>
      <c r="G163" t="s">
        <v>23</v>
      </c>
      <c r="H163" t="e">
        <f t="shared" si="4"/>
        <v>#VALUE!</v>
      </c>
      <c r="I163" t="str">
        <f t="shared" si="5"/>
        <v>-</v>
      </c>
    </row>
    <row r="164" spans="1:9" x14ac:dyDescent="0.2">
      <c r="A164">
        <v>82132</v>
      </c>
      <c r="B164" t="s">
        <v>24</v>
      </c>
      <c r="C164" t="s">
        <v>8</v>
      </c>
      <c r="D164" t="s">
        <v>25</v>
      </c>
      <c r="E164">
        <v>2</v>
      </c>
      <c r="F164">
        <v>2</v>
      </c>
      <c r="G164" t="s">
        <v>26</v>
      </c>
      <c r="H164" t="e">
        <f t="shared" si="4"/>
        <v>#VALUE!</v>
      </c>
      <c r="I164" t="str">
        <f t="shared" si="5"/>
        <v>-</v>
      </c>
    </row>
    <row r="165" spans="1:9" x14ac:dyDescent="0.2">
      <c r="A165">
        <v>82345</v>
      </c>
      <c r="B165" t="s">
        <v>27</v>
      </c>
      <c r="C165" t="s">
        <v>8</v>
      </c>
      <c r="D165" t="s">
        <v>28</v>
      </c>
      <c r="E165">
        <v>605</v>
      </c>
      <c r="F165">
        <v>14.21</v>
      </c>
      <c r="G165" t="s">
        <v>29</v>
      </c>
      <c r="H165" t="e">
        <f t="shared" si="4"/>
        <v>#VALUE!</v>
      </c>
      <c r="I165" t="str">
        <f t="shared" si="5"/>
        <v>-</v>
      </c>
    </row>
    <row r="166" spans="1:9" x14ac:dyDescent="0.2">
      <c r="A166">
        <v>82557</v>
      </c>
      <c r="B166" t="s">
        <v>30</v>
      </c>
      <c r="C166" t="s">
        <v>8</v>
      </c>
      <c r="D166" t="s">
        <v>31</v>
      </c>
      <c r="E166">
        <v>2803</v>
      </c>
      <c r="F166">
        <v>2803</v>
      </c>
      <c r="G166" t="s">
        <v>15</v>
      </c>
      <c r="H166" t="str">
        <f t="shared" si="4"/>
        <v>PSI</v>
      </c>
      <c r="I166">
        <f t="shared" si="5"/>
        <v>40.654077885777639</v>
      </c>
    </row>
    <row r="167" spans="1:9" x14ac:dyDescent="0.2">
      <c r="A167">
        <v>82799</v>
      </c>
      <c r="B167" t="s">
        <v>32</v>
      </c>
      <c r="C167" t="s">
        <v>8</v>
      </c>
      <c r="D167" t="s">
        <v>33</v>
      </c>
      <c r="E167">
        <v>5734</v>
      </c>
      <c r="F167">
        <v>1.4</v>
      </c>
      <c r="G167" t="s">
        <v>26</v>
      </c>
      <c r="H167" t="e">
        <f t="shared" si="4"/>
        <v>#VALUE!</v>
      </c>
      <c r="I167" t="str">
        <f t="shared" si="5"/>
        <v>-</v>
      </c>
    </row>
    <row r="168" spans="1:9" x14ac:dyDescent="0.2">
      <c r="A168">
        <v>83041</v>
      </c>
      <c r="B168" t="s">
        <v>34</v>
      </c>
      <c r="C168" t="s">
        <v>8</v>
      </c>
      <c r="D168" t="s">
        <v>35</v>
      </c>
      <c r="E168">
        <v>5413</v>
      </c>
      <c r="F168">
        <v>1.32</v>
      </c>
      <c r="G168" t="s">
        <v>26</v>
      </c>
      <c r="H168" t="e">
        <f t="shared" si="4"/>
        <v>#VALUE!</v>
      </c>
      <c r="I168" t="str">
        <f t="shared" si="5"/>
        <v>-</v>
      </c>
    </row>
    <row r="169" spans="1:9" x14ac:dyDescent="0.2">
      <c r="A169">
        <v>83423</v>
      </c>
      <c r="B169" t="s">
        <v>36</v>
      </c>
      <c r="C169" t="s">
        <v>8</v>
      </c>
      <c r="D169" t="s">
        <v>37</v>
      </c>
      <c r="E169" t="s">
        <v>18</v>
      </c>
      <c r="F169" t="s">
        <v>18</v>
      </c>
      <c r="G169" t="s">
        <v>18</v>
      </c>
      <c r="H169" t="e">
        <f t="shared" si="4"/>
        <v>#VALUE!</v>
      </c>
      <c r="I169" t="str">
        <f t="shared" si="5"/>
        <v>-</v>
      </c>
    </row>
    <row r="170" spans="1:9" x14ac:dyDescent="0.2">
      <c r="A170">
        <v>83805</v>
      </c>
      <c r="B170" t="s">
        <v>38</v>
      </c>
      <c r="C170" t="s">
        <v>8</v>
      </c>
      <c r="D170" t="s">
        <v>39</v>
      </c>
      <c r="E170" t="s">
        <v>18</v>
      </c>
      <c r="F170" t="s">
        <v>18</v>
      </c>
      <c r="G170" t="s">
        <v>18</v>
      </c>
      <c r="H170" t="e">
        <f t="shared" si="4"/>
        <v>#VALUE!</v>
      </c>
      <c r="I170" t="str">
        <f t="shared" si="5"/>
        <v>-</v>
      </c>
    </row>
    <row r="171" spans="1:9" x14ac:dyDescent="0.2">
      <c r="A171">
        <v>84187</v>
      </c>
      <c r="B171" t="s">
        <v>40</v>
      </c>
      <c r="C171" t="s">
        <v>8</v>
      </c>
      <c r="D171" t="s">
        <v>41</v>
      </c>
      <c r="E171" t="s">
        <v>18</v>
      </c>
      <c r="F171" t="s">
        <v>18</v>
      </c>
      <c r="G171" t="s">
        <v>18</v>
      </c>
      <c r="H171" t="e">
        <f t="shared" si="4"/>
        <v>#VALUE!</v>
      </c>
      <c r="I171" t="str">
        <f t="shared" si="5"/>
        <v>-</v>
      </c>
    </row>
    <row r="172" spans="1:9" x14ac:dyDescent="0.2">
      <c r="A172">
        <v>84389</v>
      </c>
      <c r="B172" t="s">
        <v>42</v>
      </c>
      <c r="C172" t="s">
        <v>8</v>
      </c>
      <c r="D172" t="s">
        <v>43</v>
      </c>
      <c r="E172">
        <v>10188</v>
      </c>
      <c r="F172">
        <v>5.09</v>
      </c>
      <c r="G172" t="s">
        <v>44</v>
      </c>
      <c r="H172" t="str">
        <f t="shared" si="4"/>
        <v>PSI</v>
      </c>
      <c r="I172">
        <f t="shared" si="5"/>
        <v>738.24208504676483</v>
      </c>
    </row>
    <row r="173" spans="1:9" x14ac:dyDescent="0.2">
      <c r="A173">
        <v>84582</v>
      </c>
      <c r="B173" t="s">
        <v>45</v>
      </c>
      <c r="C173" t="s">
        <v>8</v>
      </c>
      <c r="D173" t="s">
        <v>46</v>
      </c>
      <c r="E173">
        <v>1</v>
      </c>
      <c r="F173">
        <v>1</v>
      </c>
      <c r="G173" t="s">
        <v>15</v>
      </c>
      <c r="H173" t="str">
        <f t="shared" si="4"/>
        <v>PSI</v>
      </c>
      <c r="I173">
        <f t="shared" si="5"/>
        <v>1.4503773773020921E-2</v>
      </c>
    </row>
    <row r="174" spans="1:9" x14ac:dyDescent="0.2">
      <c r="A174">
        <v>84794</v>
      </c>
      <c r="B174" t="s">
        <v>47</v>
      </c>
      <c r="C174" t="s">
        <v>8</v>
      </c>
      <c r="D174" t="s">
        <v>48</v>
      </c>
      <c r="E174">
        <v>507</v>
      </c>
      <c r="F174">
        <v>50.7</v>
      </c>
      <c r="G174" t="s">
        <v>49</v>
      </c>
      <c r="H174" t="e">
        <f t="shared" si="4"/>
        <v>#VALUE!</v>
      </c>
      <c r="I174" t="str">
        <f t="shared" si="5"/>
        <v>-</v>
      </c>
    </row>
    <row r="175" spans="1:9" x14ac:dyDescent="0.2">
      <c r="A175">
        <v>85006</v>
      </c>
      <c r="B175" t="s">
        <v>50</v>
      </c>
      <c r="C175" t="s">
        <v>8</v>
      </c>
      <c r="D175" t="s">
        <v>51</v>
      </c>
      <c r="E175">
        <v>24509</v>
      </c>
      <c r="F175">
        <v>957.38</v>
      </c>
      <c r="G175" t="s">
        <v>15</v>
      </c>
      <c r="H175" t="str">
        <f t="shared" si="4"/>
        <v>PSI</v>
      </c>
      <c r="I175">
        <f t="shared" si="5"/>
        <v>13.885622934814769</v>
      </c>
    </row>
    <row r="176" spans="1:9" x14ac:dyDescent="0.2">
      <c r="A176">
        <v>85198</v>
      </c>
      <c r="B176" t="s">
        <v>52</v>
      </c>
      <c r="C176" t="s">
        <v>8</v>
      </c>
      <c r="D176" t="s">
        <v>53</v>
      </c>
      <c r="E176">
        <v>108</v>
      </c>
      <c r="F176">
        <v>33</v>
      </c>
      <c r="G176" t="s">
        <v>10</v>
      </c>
      <c r="H176" t="e">
        <f t="shared" si="4"/>
        <v>#VALUE!</v>
      </c>
      <c r="I176" t="str">
        <f t="shared" si="5"/>
        <v>-</v>
      </c>
    </row>
    <row r="177" spans="1:9" x14ac:dyDescent="0.2">
      <c r="A177">
        <v>85391</v>
      </c>
      <c r="B177" t="s">
        <v>54</v>
      </c>
      <c r="C177" t="s">
        <v>8</v>
      </c>
      <c r="D177" t="s">
        <v>55</v>
      </c>
      <c r="E177">
        <v>9</v>
      </c>
      <c r="F177">
        <v>36</v>
      </c>
      <c r="G177" t="s">
        <v>56</v>
      </c>
      <c r="H177" t="e">
        <f t="shared" si="4"/>
        <v>#VALUE!</v>
      </c>
      <c r="I177" t="str">
        <f t="shared" si="5"/>
        <v>-</v>
      </c>
    </row>
    <row r="178" spans="1:9" x14ac:dyDescent="0.2">
      <c r="A178">
        <v>85763</v>
      </c>
      <c r="B178" t="s">
        <v>57</v>
      </c>
      <c r="C178" t="s">
        <v>8</v>
      </c>
      <c r="D178" t="s">
        <v>58</v>
      </c>
      <c r="E178" t="s">
        <v>18</v>
      </c>
      <c r="F178" t="s">
        <v>18</v>
      </c>
      <c r="G178" t="s">
        <v>18</v>
      </c>
      <c r="H178" t="e">
        <f t="shared" si="4"/>
        <v>#VALUE!</v>
      </c>
      <c r="I178" t="str">
        <f t="shared" si="5"/>
        <v>-</v>
      </c>
    </row>
    <row r="179" spans="1:9" x14ac:dyDescent="0.2">
      <c r="A179">
        <v>86145</v>
      </c>
      <c r="B179" t="s">
        <v>59</v>
      </c>
      <c r="C179" t="s">
        <v>8</v>
      </c>
      <c r="D179" t="s">
        <v>60</v>
      </c>
      <c r="E179" t="s">
        <v>18</v>
      </c>
      <c r="F179" t="s">
        <v>18</v>
      </c>
      <c r="G179" t="s">
        <v>18</v>
      </c>
      <c r="H179" t="e">
        <f t="shared" si="4"/>
        <v>#VALUE!</v>
      </c>
      <c r="I179" t="str">
        <f t="shared" si="5"/>
        <v>-</v>
      </c>
    </row>
    <row r="180" spans="1:9" x14ac:dyDescent="0.2">
      <c r="A180">
        <v>86527</v>
      </c>
      <c r="B180" t="s">
        <v>61</v>
      </c>
      <c r="C180" t="s">
        <v>8</v>
      </c>
      <c r="D180" t="s">
        <v>62</v>
      </c>
      <c r="E180" t="s">
        <v>18</v>
      </c>
      <c r="F180" t="s">
        <v>18</v>
      </c>
      <c r="G180" t="s">
        <v>18</v>
      </c>
      <c r="H180" t="e">
        <f t="shared" si="4"/>
        <v>#VALUE!</v>
      </c>
      <c r="I180" t="str">
        <f t="shared" si="5"/>
        <v>-</v>
      </c>
    </row>
    <row r="181" spans="1:9" x14ac:dyDescent="0.2">
      <c r="A181">
        <v>86909</v>
      </c>
      <c r="B181" t="s">
        <v>63</v>
      </c>
      <c r="C181" t="s">
        <v>8</v>
      </c>
      <c r="D181" t="s">
        <v>64</v>
      </c>
      <c r="E181" t="s">
        <v>18</v>
      </c>
      <c r="F181" t="s">
        <v>18</v>
      </c>
      <c r="G181" t="s">
        <v>18</v>
      </c>
      <c r="H181" t="e">
        <f t="shared" si="4"/>
        <v>#VALUE!</v>
      </c>
      <c r="I181" t="str">
        <f t="shared" si="5"/>
        <v>-</v>
      </c>
    </row>
    <row r="182" spans="1:9" x14ac:dyDescent="0.2">
      <c r="A182">
        <v>87151</v>
      </c>
      <c r="B182" t="s">
        <v>65</v>
      </c>
      <c r="C182" t="s">
        <v>8</v>
      </c>
      <c r="D182" t="s">
        <v>66</v>
      </c>
      <c r="E182">
        <v>26704</v>
      </c>
      <c r="F182">
        <v>3.26</v>
      </c>
      <c r="G182" t="s">
        <v>67</v>
      </c>
      <c r="H182" t="e">
        <f t="shared" si="4"/>
        <v>#VALUE!</v>
      </c>
      <c r="I182" t="str">
        <f t="shared" si="5"/>
        <v>-</v>
      </c>
    </row>
    <row r="183" spans="1:9" x14ac:dyDescent="0.2">
      <c r="A183">
        <v>87523</v>
      </c>
      <c r="B183" t="s">
        <v>68</v>
      </c>
      <c r="C183" t="s">
        <v>8</v>
      </c>
      <c r="D183" t="s">
        <v>69</v>
      </c>
      <c r="E183" t="s">
        <v>18</v>
      </c>
      <c r="F183" t="s">
        <v>18</v>
      </c>
      <c r="G183" t="s">
        <v>18</v>
      </c>
      <c r="H183" t="e">
        <f t="shared" si="4"/>
        <v>#VALUE!</v>
      </c>
      <c r="I183" t="str">
        <f t="shared" si="5"/>
        <v>-</v>
      </c>
    </row>
    <row r="184" spans="1:9" x14ac:dyDescent="0.2">
      <c r="A184">
        <v>87725</v>
      </c>
      <c r="B184" t="s">
        <v>7</v>
      </c>
      <c r="C184" t="s">
        <v>8</v>
      </c>
      <c r="D184" t="s">
        <v>9</v>
      </c>
      <c r="E184">
        <v>161</v>
      </c>
      <c r="F184">
        <v>101</v>
      </c>
      <c r="G184" t="s">
        <v>10</v>
      </c>
      <c r="H184" t="e">
        <f t="shared" si="4"/>
        <v>#VALUE!</v>
      </c>
      <c r="I184" t="str">
        <f t="shared" si="5"/>
        <v>-</v>
      </c>
    </row>
    <row r="185" spans="1:9" x14ac:dyDescent="0.2">
      <c r="A185">
        <v>87917</v>
      </c>
      <c r="B185" t="s">
        <v>11</v>
      </c>
      <c r="C185" t="s">
        <v>8</v>
      </c>
      <c r="D185" t="s">
        <v>12</v>
      </c>
      <c r="E185">
        <v>196</v>
      </c>
      <c r="F185">
        <v>99</v>
      </c>
      <c r="G185" t="s">
        <v>10</v>
      </c>
      <c r="H185" t="e">
        <f t="shared" si="4"/>
        <v>#VALUE!</v>
      </c>
      <c r="I185" t="str">
        <f t="shared" si="5"/>
        <v>-</v>
      </c>
    </row>
    <row r="186" spans="1:9" x14ac:dyDescent="0.2">
      <c r="A186">
        <v>88139</v>
      </c>
      <c r="B186" t="s">
        <v>13</v>
      </c>
      <c r="C186" t="s">
        <v>8</v>
      </c>
      <c r="D186" t="s">
        <v>14</v>
      </c>
      <c r="E186">
        <v>25902</v>
      </c>
      <c r="F186">
        <v>1011.8</v>
      </c>
      <c r="G186" t="s">
        <v>15</v>
      </c>
      <c r="H186" t="str">
        <f t="shared" si="4"/>
        <v>PSI</v>
      </c>
      <c r="I186">
        <f t="shared" si="5"/>
        <v>14.674918303542567</v>
      </c>
    </row>
    <row r="187" spans="1:9" x14ac:dyDescent="0.2">
      <c r="A187">
        <v>88511</v>
      </c>
      <c r="B187" t="s">
        <v>16</v>
      </c>
      <c r="C187" t="s">
        <v>8</v>
      </c>
      <c r="D187" t="s">
        <v>17</v>
      </c>
      <c r="E187" t="s">
        <v>18</v>
      </c>
      <c r="F187" t="s">
        <v>18</v>
      </c>
      <c r="G187" t="s">
        <v>18</v>
      </c>
      <c r="H187" t="e">
        <f t="shared" si="4"/>
        <v>#VALUE!</v>
      </c>
      <c r="I187" t="str">
        <f t="shared" si="5"/>
        <v>-</v>
      </c>
    </row>
    <row r="188" spans="1:9" x14ac:dyDescent="0.2">
      <c r="A188">
        <v>88723</v>
      </c>
      <c r="B188" t="s">
        <v>19</v>
      </c>
      <c r="C188" t="s">
        <v>8</v>
      </c>
      <c r="D188" t="s">
        <v>20</v>
      </c>
      <c r="E188">
        <v>12913</v>
      </c>
      <c r="F188">
        <v>1008.83</v>
      </c>
      <c r="G188" t="s">
        <v>15</v>
      </c>
      <c r="H188" t="str">
        <f t="shared" si="4"/>
        <v>PSI</v>
      </c>
      <c r="I188">
        <f t="shared" si="5"/>
        <v>14.631842095436696</v>
      </c>
    </row>
    <row r="189" spans="1:9" x14ac:dyDescent="0.2">
      <c r="A189">
        <v>88935</v>
      </c>
      <c r="B189" t="s">
        <v>21</v>
      </c>
      <c r="C189" t="s">
        <v>8</v>
      </c>
      <c r="D189" t="s">
        <v>22</v>
      </c>
      <c r="E189">
        <v>5795</v>
      </c>
      <c r="F189">
        <v>1448.75</v>
      </c>
      <c r="G189" t="s">
        <v>23</v>
      </c>
      <c r="H189" t="e">
        <f t="shared" si="4"/>
        <v>#VALUE!</v>
      </c>
      <c r="I189" t="str">
        <f t="shared" si="5"/>
        <v>-</v>
      </c>
    </row>
    <row r="190" spans="1:9" x14ac:dyDescent="0.2">
      <c r="A190">
        <v>89127</v>
      </c>
      <c r="B190" t="s">
        <v>24</v>
      </c>
      <c r="C190" t="s">
        <v>8</v>
      </c>
      <c r="D190" t="s">
        <v>25</v>
      </c>
      <c r="E190">
        <v>4</v>
      </c>
      <c r="F190">
        <v>4</v>
      </c>
      <c r="G190" t="s">
        <v>26</v>
      </c>
      <c r="H190" t="e">
        <f t="shared" si="4"/>
        <v>#VALUE!</v>
      </c>
      <c r="I190" t="str">
        <f t="shared" si="5"/>
        <v>-</v>
      </c>
    </row>
    <row r="191" spans="1:9" x14ac:dyDescent="0.2">
      <c r="A191">
        <v>89339</v>
      </c>
      <c r="B191" t="s">
        <v>27</v>
      </c>
      <c r="C191" t="s">
        <v>8</v>
      </c>
      <c r="D191" t="s">
        <v>28</v>
      </c>
      <c r="E191">
        <v>601</v>
      </c>
      <c r="F191">
        <v>14.11</v>
      </c>
      <c r="G191" t="s">
        <v>29</v>
      </c>
      <c r="H191" t="e">
        <f t="shared" si="4"/>
        <v>#VALUE!</v>
      </c>
      <c r="I191" t="str">
        <f t="shared" si="5"/>
        <v>-</v>
      </c>
    </row>
    <row r="192" spans="1:9" x14ac:dyDescent="0.2">
      <c r="A192">
        <v>89551</v>
      </c>
      <c r="B192" t="s">
        <v>30</v>
      </c>
      <c r="C192" t="s">
        <v>8</v>
      </c>
      <c r="D192" t="s">
        <v>31</v>
      </c>
      <c r="E192">
        <v>3204</v>
      </c>
      <c r="F192">
        <v>3204</v>
      </c>
      <c r="G192" t="s">
        <v>15</v>
      </c>
      <c r="H192" t="str">
        <f t="shared" si="4"/>
        <v>PSI</v>
      </c>
      <c r="I192">
        <f t="shared" si="5"/>
        <v>46.470091168759033</v>
      </c>
    </row>
    <row r="193" spans="1:9" x14ac:dyDescent="0.2">
      <c r="A193">
        <v>89763</v>
      </c>
      <c r="B193" t="s">
        <v>32</v>
      </c>
      <c r="C193" t="s">
        <v>8</v>
      </c>
      <c r="D193" t="s">
        <v>33</v>
      </c>
      <c r="E193">
        <v>4035</v>
      </c>
      <c r="F193">
        <v>0.99</v>
      </c>
      <c r="G193" t="s">
        <v>26</v>
      </c>
      <c r="H193" t="e">
        <f t="shared" si="4"/>
        <v>#VALUE!</v>
      </c>
      <c r="I193" t="str">
        <f t="shared" si="5"/>
        <v>-</v>
      </c>
    </row>
    <row r="194" spans="1:9" x14ac:dyDescent="0.2">
      <c r="A194">
        <v>89975</v>
      </c>
      <c r="B194" t="s">
        <v>34</v>
      </c>
      <c r="C194" t="s">
        <v>8</v>
      </c>
      <c r="D194" t="s">
        <v>35</v>
      </c>
      <c r="E194">
        <v>3617</v>
      </c>
      <c r="F194">
        <v>0.88</v>
      </c>
      <c r="G194" t="s">
        <v>26</v>
      </c>
      <c r="H194" t="e">
        <f t="shared" si="4"/>
        <v>#VALUE!</v>
      </c>
      <c r="I194" t="str">
        <f t="shared" si="5"/>
        <v>-</v>
      </c>
    </row>
    <row r="195" spans="1:9" x14ac:dyDescent="0.2">
      <c r="A195">
        <v>90357</v>
      </c>
      <c r="B195" t="s">
        <v>36</v>
      </c>
      <c r="C195" t="s">
        <v>8</v>
      </c>
      <c r="D195" t="s">
        <v>37</v>
      </c>
      <c r="E195" t="s">
        <v>18</v>
      </c>
      <c r="F195" t="s">
        <v>18</v>
      </c>
      <c r="G195" t="s">
        <v>18</v>
      </c>
      <c r="H195" t="e">
        <f t="shared" ref="H195:H258" si="6">IF(FIND("Pa",G195,1),"PSI","-")</f>
        <v>#VALUE!</v>
      </c>
      <c r="I195" t="str">
        <f t="shared" ref="I195:I258" si="7">IF(G195="hPa",CONVERT(F195*100,"Pa","psi"), IF(G195="MPa",CONVERT(F195*1000000,"Pa","psi"),"-"))</f>
        <v>-</v>
      </c>
    </row>
    <row r="196" spans="1:9" x14ac:dyDescent="0.2">
      <c r="A196">
        <v>90729</v>
      </c>
      <c r="B196" t="s">
        <v>38</v>
      </c>
      <c r="C196" t="s">
        <v>8</v>
      </c>
      <c r="D196" t="s">
        <v>39</v>
      </c>
      <c r="E196" t="s">
        <v>18</v>
      </c>
      <c r="F196" t="s">
        <v>18</v>
      </c>
      <c r="G196" t="s">
        <v>18</v>
      </c>
      <c r="H196" t="e">
        <f t="shared" si="6"/>
        <v>#VALUE!</v>
      </c>
      <c r="I196" t="str">
        <f t="shared" si="7"/>
        <v>-</v>
      </c>
    </row>
    <row r="197" spans="1:9" x14ac:dyDescent="0.2">
      <c r="A197">
        <v>91111</v>
      </c>
      <c r="B197" t="s">
        <v>40</v>
      </c>
      <c r="C197" t="s">
        <v>8</v>
      </c>
      <c r="D197" t="s">
        <v>41</v>
      </c>
      <c r="E197" t="s">
        <v>18</v>
      </c>
      <c r="F197" t="s">
        <v>18</v>
      </c>
      <c r="G197" t="s">
        <v>18</v>
      </c>
      <c r="H197" t="e">
        <f t="shared" si="6"/>
        <v>#VALUE!</v>
      </c>
      <c r="I197" t="str">
        <f t="shared" si="7"/>
        <v>-</v>
      </c>
    </row>
    <row r="198" spans="1:9" x14ac:dyDescent="0.2">
      <c r="A198">
        <v>91333</v>
      </c>
      <c r="B198" t="s">
        <v>42</v>
      </c>
      <c r="C198" t="s">
        <v>8</v>
      </c>
      <c r="D198" t="s">
        <v>43</v>
      </c>
      <c r="E198">
        <v>9898</v>
      </c>
      <c r="F198">
        <v>4.95</v>
      </c>
      <c r="G198" t="s">
        <v>44</v>
      </c>
      <c r="H198" t="str">
        <f t="shared" si="6"/>
        <v>PSI</v>
      </c>
      <c r="I198">
        <f t="shared" si="7"/>
        <v>717.93680176453563</v>
      </c>
    </row>
    <row r="199" spans="1:9" x14ac:dyDescent="0.2">
      <c r="A199">
        <v>91525</v>
      </c>
      <c r="B199" t="s">
        <v>45</v>
      </c>
      <c r="C199" t="s">
        <v>8</v>
      </c>
      <c r="D199" t="s">
        <v>46</v>
      </c>
      <c r="E199">
        <v>1</v>
      </c>
      <c r="F199">
        <v>1</v>
      </c>
      <c r="G199" t="s">
        <v>15</v>
      </c>
      <c r="H199" t="str">
        <f t="shared" si="6"/>
        <v>PSI</v>
      </c>
      <c r="I199">
        <f t="shared" si="7"/>
        <v>1.4503773773020921E-2</v>
      </c>
    </row>
    <row r="200" spans="1:9" x14ac:dyDescent="0.2">
      <c r="A200">
        <v>91737</v>
      </c>
      <c r="B200" t="s">
        <v>47</v>
      </c>
      <c r="C200" t="s">
        <v>8</v>
      </c>
      <c r="D200" t="s">
        <v>48</v>
      </c>
      <c r="E200">
        <v>577</v>
      </c>
      <c r="F200">
        <v>57.7</v>
      </c>
      <c r="G200" t="s">
        <v>49</v>
      </c>
      <c r="H200" t="e">
        <f t="shared" si="6"/>
        <v>#VALUE!</v>
      </c>
      <c r="I200" t="str">
        <f t="shared" si="7"/>
        <v>-</v>
      </c>
    </row>
    <row r="201" spans="1:9" x14ac:dyDescent="0.2">
      <c r="A201">
        <v>91949</v>
      </c>
      <c r="B201" t="s">
        <v>50</v>
      </c>
      <c r="C201" t="s">
        <v>8</v>
      </c>
      <c r="D201" t="s">
        <v>51</v>
      </c>
      <c r="E201">
        <v>25098</v>
      </c>
      <c r="F201">
        <v>980.39</v>
      </c>
      <c r="G201" t="s">
        <v>15</v>
      </c>
      <c r="H201" t="str">
        <f t="shared" si="6"/>
        <v>PSI</v>
      </c>
      <c r="I201">
        <f t="shared" si="7"/>
        <v>14.21935476933198</v>
      </c>
    </row>
    <row r="202" spans="1:9" x14ac:dyDescent="0.2">
      <c r="A202">
        <v>92141</v>
      </c>
      <c r="B202" t="s">
        <v>52</v>
      </c>
      <c r="C202" t="s">
        <v>8</v>
      </c>
      <c r="D202" t="s">
        <v>53</v>
      </c>
      <c r="E202">
        <v>107</v>
      </c>
      <c r="F202">
        <v>32.25</v>
      </c>
      <c r="G202" t="s">
        <v>10</v>
      </c>
      <c r="H202" t="e">
        <f t="shared" si="6"/>
        <v>#VALUE!</v>
      </c>
      <c r="I202" t="str">
        <f t="shared" si="7"/>
        <v>-</v>
      </c>
    </row>
    <row r="203" spans="1:9" x14ac:dyDescent="0.2">
      <c r="A203">
        <v>92343</v>
      </c>
      <c r="B203" t="s">
        <v>54</v>
      </c>
      <c r="C203" t="s">
        <v>8</v>
      </c>
      <c r="D203" t="s">
        <v>55</v>
      </c>
      <c r="E203">
        <v>4</v>
      </c>
      <c r="F203">
        <v>16</v>
      </c>
      <c r="G203" t="s">
        <v>56</v>
      </c>
      <c r="H203" t="e">
        <f t="shared" si="6"/>
        <v>#VALUE!</v>
      </c>
      <c r="I203" t="str">
        <f t="shared" si="7"/>
        <v>-</v>
      </c>
    </row>
    <row r="204" spans="1:9" x14ac:dyDescent="0.2">
      <c r="A204">
        <v>92726</v>
      </c>
      <c r="B204" t="s">
        <v>57</v>
      </c>
      <c r="C204" t="s">
        <v>8</v>
      </c>
      <c r="D204" t="s">
        <v>58</v>
      </c>
      <c r="E204" t="s">
        <v>18</v>
      </c>
      <c r="F204" t="s">
        <v>18</v>
      </c>
      <c r="G204" t="s">
        <v>18</v>
      </c>
      <c r="H204" t="e">
        <f t="shared" si="6"/>
        <v>#VALUE!</v>
      </c>
      <c r="I204" t="str">
        <f t="shared" si="7"/>
        <v>-</v>
      </c>
    </row>
    <row r="205" spans="1:9" x14ac:dyDescent="0.2">
      <c r="A205">
        <v>93108</v>
      </c>
      <c r="B205" t="s">
        <v>59</v>
      </c>
      <c r="C205" t="s">
        <v>8</v>
      </c>
      <c r="D205" t="s">
        <v>60</v>
      </c>
      <c r="E205" t="s">
        <v>18</v>
      </c>
      <c r="F205" t="s">
        <v>18</v>
      </c>
      <c r="G205" t="s">
        <v>18</v>
      </c>
      <c r="H205" t="e">
        <f t="shared" si="6"/>
        <v>#VALUE!</v>
      </c>
      <c r="I205" t="str">
        <f t="shared" si="7"/>
        <v>-</v>
      </c>
    </row>
    <row r="206" spans="1:9" x14ac:dyDescent="0.2">
      <c r="A206">
        <v>93480</v>
      </c>
      <c r="B206" t="s">
        <v>61</v>
      </c>
      <c r="C206" t="s">
        <v>8</v>
      </c>
      <c r="D206" t="s">
        <v>62</v>
      </c>
      <c r="E206" t="s">
        <v>18</v>
      </c>
      <c r="F206" t="s">
        <v>18</v>
      </c>
      <c r="G206" t="s">
        <v>18</v>
      </c>
      <c r="H206" t="e">
        <f t="shared" si="6"/>
        <v>#VALUE!</v>
      </c>
      <c r="I206" t="str">
        <f t="shared" si="7"/>
        <v>-</v>
      </c>
    </row>
    <row r="207" spans="1:9" x14ac:dyDescent="0.2">
      <c r="A207">
        <v>93862</v>
      </c>
      <c r="B207" t="s">
        <v>63</v>
      </c>
      <c r="C207" t="s">
        <v>8</v>
      </c>
      <c r="D207" t="s">
        <v>64</v>
      </c>
      <c r="E207" t="s">
        <v>18</v>
      </c>
      <c r="F207" t="s">
        <v>18</v>
      </c>
      <c r="G207" t="s">
        <v>18</v>
      </c>
      <c r="H207" t="e">
        <f t="shared" si="6"/>
        <v>#VALUE!</v>
      </c>
      <c r="I207" t="str">
        <f t="shared" si="7"/>
        <v>-</v>
      </c>
    </row>
    <row r="208" spans="1:9" x14ac:dyDescent="0.2">
      <c r="A208">
        <v>94114</v>
      </c>
      <c r="B208" t="s">
        <v>65</v>
      </c>
      <c r="C208" t="s">
        <v>8</v>
      </c>
      <c r="D208" t="s">
        <v>66</v>
      </c>
      <c r="E208">
        <v>26726</v>
      </c>
      <c r="F208">
        <v>3.26</v>
      </c>
      <c r="G208" t="s">
        <v>67</v>
      </c>
      <c r="H208" t="e">
        <f t="shared" si="6"/>
        <v>#VALUE!</v>
      </c>
      <c r="I208" t="str">
        <f t="shared" si="7"/>
        <v>-</v>
      </c>
    </row>
    <row r="209" spans="1:9" x14ac:dyDescent="0.2">
      <c r="A209">
        <v>94496</v>
      </c>
      <c r="B209" t="s">
        <v>68</v>
      </c>
      <c r="C209" t="s">
        <v>8</v>
      </c>
      <c r="D209" t="s">
        <v>69</v>
      </c>
      <c r="E209" t="s">
        <v>18</v>
      </c>
      <c r="F209" t="s">
        <v>18</v>
      </c>
      <c r="G209" t="s">
        <v>18</v>
      </c>
      <c r="H209" t="e">
        <f t="shared" si="6"/>
        <v>#VALUE!</v>
      </c>
      <c r="I209" t="str">
        <f t="shared" si="7"/>
        <v>-</v>
      </c>
    </row>
    <row r="210" spans="1:9" x14ac:dyDescent="0.2">
      <c r="A210">
        <v>94698</v>
      </c>
      <c r="B210" t="s">
        <v>7</v>
      </c>
      <c r="C210" t="s">
        <v>8</v>
      </c>
      <c r="D210" t="s">
        <v>9</v>
      </c>
      <c r="E210">
        <v>161</v>
      </c>
      <c r="F210">
        <v>101</v>
      </c>
      <c r="G210" t="s">
        <v>10</v>
      </c>
      <c r="H210" t="e">
        <f t="shared" si="6"/>
        <v>#VALUE!</v>
      </c>
      <c r="I210" t="str">
        <f t="shared" si="7"/>
        <v>-</v>
      </c>
    </row>
    <row r="211" spans="1:9" x14ac:dyDescent="0.2">
      <c r="A211">
        <v>94890</v>
      </c>
      <c r="B211" t="s">
        <v>11</v>
      </c>
      <c r="C211" t="s">
        <v>8</v>
      </c>
      <c r="D211" t="s">
        <v>12</v>
      </c>
      <c r="E211">
        <v>198</v>
      </c>
      <c r="F211">
        <v>100.5</v>
      </c>
      <c r="G211" t="s">
        <v>10</v>
      </c>
      <c r="H211" t="e">
        <f t="shared" si="6"/>
        <v>#VALUE!</v>
      </c>
      <c r="I211" t="str">
        <f t="shared" si="7"/>
        <v>-</v>
      </c>
    </row>
    <row r="212" spans="1:9" x14ac:dyDescent="0.2">
      <c r="A212">
        <v>95102</v>
      </c>
      <c r="B212" t="s">
        <v>13</v>
      </c>
      <c r="C212" t="s">
        <v>8</v>
      </c>
      <c r="D212" t="s">
        <v>14</v>
      </c>
      <c r="E212">
        <v>25902</v>
      </c>
      <c r="F212">
        <v>1011.8</v>
      </c>
      <c r="G212" t="s">
        <v>15</v>
      </c>
      <c r="H212" t="str">
        <f t="shared" si="6"/>
        <v>PSI</v>
      </c>
      <c r="I212">
        <f t="shared" si="7"/>
        <v>14.674918303542567</v>
      </c>
    </row>
    <row r="213" spans="1:9" x14ac:dyDescent="0.2">
      <c r="A213">
        <v>95484</v>
      </c>
      <c r="B213" t="s">
        <v>16</v>
      </c>
      <c r="C213" t="s">
        <v>8</v>
      </c>
      <c r="D213" t="s">
        <v>17</v>
      </c>
      <c r="E213" t="s">
        <v>18</v>
      </c>
      <c r="F213" t="s">
        <v>18</v>
      </c>
      <c r="G213" t="s">
        <v>18</v>
      </c>
      <c r="H213" t="e">
        <f t="shared" si="6"/>
        <v>#VALUE!</v>
      </c>
      <c r="I213" t="str">
        <f t="shared" si="7"/>
        <v>-</v>
      </c>
    </row>
    <row r="214" spans="1:9" x14ac:dyDescent="0.2">
      <c r="A214">
        <v>95696</v>
      </c>
      <c r="B214" t="s">
        <v>19</v>
      </c>
      <c r="C214" t="s">
        <v>8</v>
      </c>
      <c r="D214" t="s">
        <v>20</v>
      </c>
      <c r="E214">
        <v>13093</v>
      </c>
      <c r="F214">
        <v>1022.89</v>
      </c>
      <c r="G214" t="s">
        <v>15</v>
      </c>
      <c r="H214" t="str">
        <f t="shared" si="6"/>
        <v>PSI</v>
      </c>
      <c r="I214">
        <f t="shared" si="7"/>
        <v>14.835765154685369</v>
      </c>
    </row>
    <row r="215" spans="1:9" x14ac:dyDescent="0.2">
      <c r="A215">
        <v>95908</v>
      </c>
      <c r="B215" t="s">
        <v>21</v>
      </c>
      <c r="C215" t="s">
        <v>8</v>
      </c>
      <c r="D215" t="s">
        <v>22</v>
      </c>
      <c r="E215">
        <v>6813</v>
      </c>
      <c r="F215">
        <v>1703.25</v>
      </c>
      <c r="G215" t="s">
        <v>23</v>
      </c>
      <c r="H215" t="e">
        <f t="shared" si="6"/>
        <v>#VALUE!</v>
      </c>
      <c r="I215" t="str">
        <f t="shared" si="7"/>
        <v>-</v>
      </c>
    </row>
    <row r="216" spans="1:9" x14ac:dyDescent="0.2">
      <c r="A216">
        <v>96100</v>
      </c>
      <c r="B216" t="s">
        <v>24</v>
      </c>
      <c r="C216" t="s">
        <v>8</v>
      </c>
      <c r="D216" t="s">
        <v>25</v>
      </c>
      <c r="E216">
        <v>3</v>
      </c>
      <c r="F216">
        <v>3</v>
      </c>
      <c r="G216" t="s">
        <v>26</v>
      </c>
      <c r="H216" t="e">
        <f t="shared" si="6"/>
        <v>#VALUE!</v>
      </c>
      <c r="I216" t="str">
        <f t="shared" si="7"/>
        <v>-</v>
      </c>
    </row>
    <row r="217" spans="1:9" x14ac:dyDescent="0.2">
      <c r="A217">
        <v>96312</v>
      </c>
      <c r="B217" t="s">
        <v>27</v>
      </c>
      <c r="C217" t="s">
        <v>8</v>
      </c>
      <c r="D217" t="s">
        <v>28</v>
      </c>
      <c r="E217">
        <v>602</v>
      </c>
      <c r="F217">
        <v>14.14</v>
      </c>
      <c r="G217" t="s">
        <v>29</v>
      </c>
      <c r="H217" t="e">
        <f t="shared" si="6"/>
        <v>#VALUE!</v>
      </c>
      <c r="I217" t="str">
        <f t="shared" si="7"/>
        <v>-</v>
      </c>
    </row>
    <row r="218" spans="1:9" x14ac:dyDescent="0.2">
      <c r="A218">
        <v>96524</v>
      </c>
      <c r="B218" t="s">
        <v>30</v>
      </c>
      <c r="C218" t="s">
        <v>8</v>
      </c>
      <c r="D218" t="s">
        <v>31</v>
      </c>
      <c r="E218">
        <v>3660</v>
      </c>
      <c r="F218">
        <v>3660</v>
      </c>
      <c r="G218" t="s">
        <v>15</v>
      </c>
      <c r="H218" t="str">
        <f t="shared" si="6"/>
        <v>PSI</v>
      </c>
      <c r="I218">
        <f t="shared" si="7"/>
        <v>53.083812009256569</v>
      </c>
    </row>
    <row r="219" spans="1:9" x14ac:dyDescent="0.2">
      <c r="A219">
        <v>96736</v>
      </c>
      <c r="B219" t="s">
        <v>32</v>
      </c>
      <c r="C219" t="s">
        <v>8</v>
      </c>
      <c r="D219" t="s">
        <v>33</v>
      </c>
      <c r="E219">
        <v>3735</v>
      </c>
      <c r="F219">
        <v>0.91</v>
      </c>
      <c r="G219" t="s">
        <v>26</v>
      </c>
      <c r="H219" t="e">
        <f t="shared" si="6"/>
        <v>#VALUE!</v>
      </c>
      <c r="I219" t="str">
        <f t="shared" si="7"/>
        <v>-</v>
      </c>
    </row>
    <row r="220" spans="1:9" x14ac:dyDescent="0.2">
      <c r="A220">
        <v>96948</v>
      </c>
      <c r="B220" t="s">
        <v>34</v>
      </c>
      <c r="C220" t="s">
        <v>8</v>
      </c>
      <c r="D220" t="s">
        <v>35</v>
      </c>
      <c r="E220">
        <v>3766</v>
      </c>
      <c r="F220">
        <v>0.92</v>
      </c>
      <c r="G220" t="s">
        <v>26</v>
      </c>
      <c r="H220" t="e">
        <f t="shared" si="6"/>
        <v>#VALUE!</v>
      </c>
      <c r="I220" t="str">
        <f t="shared" si="7"/>
        <v>-</v>
      </c>
    </row>
    <row r="221" spans="1:9" x14ac:dyDescent="0.2">
      <c r="A221">
        <v>97320</v>
      </c>
      <c r="B221" t="s">
        <v>36</v>
      </c>
      <c r="C221" t="s">
        <v>8</v>
      </c>
      <c r="D221" t="s">
        <v>37</v>
      </c>
      <c r="E221" t="s">
        <v>18</v>
      </c>
      <c r="F221" t="s">
        <v>18</v>
      </c>
      <c r="G221" t="s">
        <v>18</v>
      </c>
      <c r="H221" t="e">
        <f t="shared" si="6"/>
        <v>#VALUE!</v>
      </c>
      <c r="I221" t="str">
        <f t="shared" si="7"/>
        <v>-</v>
      </c>
    </row>
    <row r="222" spans="1:9" x14ac:dyDescent="0.2">
      <c r="A222">
        <v>97702</v>
      </c>
      <c r="B222" t="s">
        <v>38</v>
      </c>
      <c r="C222" t="s">
        <v>8</v>
      </c>
      <c r="D222" t="s">
        <v>39</v>
      </c>
      <c r="E222" t="s">
        <v>18</v>
      </c>
      <c r="F222" t="s">
        <v>18</v>
      </c>
      <c r="G222" t="s">
        <v>18</v>
      </c>
      <c r="H222" t="e">
        <f t="shared" si="6"/>
        <v>#VALUE!</v>
      </c>
      <c r="I222" t="str">
        <f t="shared" si="7"/>
        <v>-</v>
      </c>
    </row>
    <row r="223" spans="1:9" x14ac:dyDescent="0.2">
      <c r="A223">
        <v>98084</v>
      </c>
      <c r="B223" t="s">
        <v>40</v>
      </c>
      <c r="C223" t="s">
        <v>8</v>
      </c>
      <c r="D223" t="s">
        <v>41</v>
      </c>
      <c r="E223" t="s">
        <v>18</v>
      </c>
      <c r="F223" t="s">
        <v>18</v>
      </c>
      <c r="G223" t="s">
        <v>18</v>
      </c>
      <c r="H223" t="e">
        <f t="shared" si="6"/>
        <v>#VALUE!</v>
      </c>
      <c r="I223" t="str">
        <f t="shared" si="7"/>
        <v>-</v>
      </c>
    </row>
    <row r="224" spans="1:9" x14ac:dyDescent="0.2">
      <c r="A224">
        <v>98296</v>
      </c>
      <c r="B224" t="s">
        <v>42</v>
      </c>
      <c r="C224" t="s">
        <v>8</v>
      </c>
      <c r="D224" t="s">
        <v>43</v>
      </c>
      <c r="E224">
        <v>11550</v>
      </c>
      <c r="F224">
        <v>5.78</v>
      </c>
      <c r="G224" t="s">
        <v>44</v>
      </c>
      <c r="H224" t="str">
        <f t="shared" si="6"/>
        <v>PSI</v>
      </c>
      <c r="I224">
        <f t="shared" si="7"/>
        <v>838.31812408060921</v>
      </c>
    </row>
    <row r="225" spans="1:9" x14ac:dyDescent="0.2">
      <c r="A225">
        <v>98489</v>
      </c>
      <c r="B225" t="s">
        <v>45</v>
      </c>
      <c r="C225" t="s">
        <v>8</v>
      </c>
      <c r="D225" t="s">
        <v>46</v>
      </c>
      <c r="E225">
        <v>1</v>
      </c>
      <c r="F225">
        <v>1</v>
      </c>
      <c r="G225" t="s">
        <v>15</v>
      </c>
      <c r="H225" t="str">
        <f t="shared" si="6"/>
        <v>PSI</v>
      </c>
      <c r="I225">
        <f t="shared" si="7"/>
        <v>1.4503773773020921E-2</v>
      </c>
    </row>
    <row r="226" spans="1:9" x14ac:dyDescent="0.2">
      <c r="A226">
        <v>98712</v>
      </c>
      <c r="B226" t="s">
        <v>47</v>
      </c>
      <c r="C226" t="s">
        <v>8</v>
      </c>
      <c r="D226" t="s">
        <v>48</v>
      </c>
      <c r="E226">
        <v>646</v>
      </c>
      <c r="F226">
        <v>64.599999999999994</v>
      </c>
      <c r="G226" t="s">
        <v>49</v>
      </c>
      <c r="H226" t="e">
        <f t="shared" si="6"/>
        <v>#VALUE!</v>
      </c>
      <c r="I226" t="str">
        <f t="shared" si="7"/>
        <v>-</v>
      </c>
    </row>
    <row r="227" spans="1:9" x14ac:dyDescent="0.2">
      <c r="A227">
        <v>98924</v>
      </c>
      <c r="B227" t="s">
        <v>50</v>
      </c>
      <c r="C227" t="s">
        <v>8</v>
      </c>
      <c r="D227" t="s">
        <v>51</v>
      </c>
      <c r="E227">
        <v>24596</v>
      </c>
      <c r="F227">
        <v>960.78</v>
      </c>
      <c r="G227" t="s">
        <v>15</v>
      </c>
      <c r="H227" t="str">
        <f t="shared" si="6"/>
        <v>PSI</v>
      </c>
      <c r="I227">
        <f t="shared" si="7"/>
        <v>13.93493576564304</v>
      </c>
    </row>
    <row r="228" spans="1:9" x14ac:dyDescent="0.2">
      <c r="A228">
        <v>99116</v>
      </c>
      <c r="B228" t="s">
        <v>52</v>
      </c>
      <c r="C228" t="s">
        <v>8</v>
      </c>
      <c r="D228" t="s">
        <v>53</v>
      </c>
      <c r="E228">
        <v>106</v>
      </c>
      <c r="F228">
        <v>31.5</v>
      </c>
      <c r="G228" t="s">
        <v>10</v>
      </c>
      <c r="H228" t="e">
        <f t="shared" si="6"/>
        <v>#VALUE!</v>
      </c>
      <c r="I228" t="str">
        <f t="shared" si="7"/>
        <v>-</v>
      </c>
    </row>
    <row r="229" spans="1:9" x14ac:dyDescent="0.2">
      <c r="A229">
        <v>99308</v>
      </c>
      <c r="B229" t="s">
        <v>54</v>
      </c>
      <c r="C229" t="s">
        <v>8</v>
      </c>
      <c r="D229" t="s">
        <v>55</v>
      </c>
      <c r="E229">
        <v>4</v>
      </c>
      <c r="F229">
        <v>16</v>
      </c>
      <c r="G229" t="s">
        <v>56</v>
      </c>
      <c r="H229" t="e">
        <f t="shared" si="6"/>
        <v>#VALUE!</v>
      </c>
      <c r="I229" t="str">
        <f t="shared" si="7"/>
        <v>-</v>
      </c>
    </row>
    <row r="230" spans="1:9" x14ac:dyDescent="0.2">
      <c r="A230">
        <v>99680</v>
      </c>
      <c r="B230" t="s">
        <v>57</v>
      </c>
      <c r="C230" t="s">
        <v>8</v>
      </c>
      <c r="D230" t="s">
        <v>58</v>
      </c>
      <c r="E230" t="s">
        <v>18</v>
      </c>
      <c r="F230" t="s">
        <v>18</v>
      </c>
      <c r="G230" t="s">
        <v>18</v>
      </c>
      <c r="H230" t="e">
        <f t="shared" si="6"/>
        <v>#VALUE!</v>
      </c>
      <c r="I230" t="str">
        <f t="shared" si="7"/>
        <v>-</v>
      </c>
    </row>
    <row r="231" spans="1:9" x14ac:dyDescent="0.2">
      <c r="A231">
        <v>100062</v>
      </c>
      <c r="B231" t="s">
        <v>59</v>
      </c>
      <c r="C231" t="s">
        <v>8</v>
      </c>
      <c r="D231" t="s">
        <v>60</v>
      </c>
      <c r="E231" t="s">
        <v>18</v>
      </c>
      <c r="F231" t="s">
        <v>18</v>
      </c>
      <c r="G231" t="s">
        <v>18</v>
      </c>
      <c r="H231" t="e">
        <f t="shared" si="6"/>
        <v>#VALUE!</v>
      </c>
      <c r="I231" t="str">
        <f t="shared" si="7"/>
        <v>-</v>
      </c>
    </row>
    <row r="232" spans="1:9" x14ac:dyDescent="0.2">
      <c r="A232">
        <v>100444</v>
      </c>
      <c r="B232" t="s">
        <v>61</v>
      </c>
      <c r="C232" t="s">
        <v>8</v>
      </c>
      <c r="D232" t="s">
        <v>62</v>
      </c>
      <c r="E232" t="s">
        <v>18</v>
      </c>
      <c r="F232" t="s">
        <v>18</v>
      </c>
      <c r="G232" t="s">
        <v>18</v>
      </c>
      <c r="H232" t="e">
        <f t="shared" si="6"/>
        <v>#VALUE!</v>
      </c>
      <c r="I232" t="str">
        <f t="shared" si="7"/>
        <v>-</v>
      </c>
    </row>
    <row r="233" spans="1:9" x14ac:dyDescent="0.2">
      <c r="A233">
        <v>100826</v>
      </c>
      <c r="B233" t="s">
        <v>63</v>
      </c>
      <c r="C233" t="s">
        <v>8</v>
      </c>
      <c r="D233" t="s">
        <v>64</v>
      </c>
      <c r="E233" t="s">
        <v>18</v>
      </c>
      <c r="F233" t="s">
        <v>18</v>
      </c>
      <c r="G233" t="s">
        <v>18</v>
      </c>
      <c r="H233" t="e">
        <f t="shared" si="6"/>
        <v>#VALUE!</v>
      </c>
      <c r="I233" t="str">
        <f t="shared" si="7"/>
        <v>-</v>
      </c>
    </row>
    <row r="234" spans="1:9" x14ac:dyDescent="0.2">
      <c r="A234">
        <v>101078</v>
      </c>
      <c r="B234" t="s">
        <v>65</v>
      </c>
      <c r="C234" t="s">
        <v>8</v>
      </c>
      <c r="D234" t="s">
        <v>66</v>
      </c>
      <c r="E234">
        <v>26747</v>
      </c>
      <c r="F234">
        <v>3.27</v>
      </c>
      <c r="G234" t="s">
        <v>67</v>
      </c>
      <c r="H234" t="e">
        <f t="shared" si="6"/>
        <v>#VALUE!</v>
      </c>
      <c r="I234" t="str">
        <f t="shared" si="7"/>
        <v>-</v>
      </c>
    </row>
    <row r="235" spans="1:9" x14ac:dyDescent="0.2">
      <c r="A235">
        <v>101460</v>
      </c>
      <c r="B235" t="s">
        <v>68</v>
      </c>
      <c r="C235" t="s">
        <v>8</v>
      </c>
      <c r="D235" t="s">
        <v>69</v>
      </c>
      <c r="E235" t="s">
        <v>18</v>
      </c>
      <c r="F235" t="s">
        <v>18</v>
      </c>
      <c r="G235" t="s">
        <v>18</v>
      </c>
      <c r="H235" t="e">
        <f t="shared" si="6"/>
        <v>#VALUE!</v>
      </c>
      <c r="I235" t="str">
        <f t="shared" si="7"/>
        <v>-</v>
      </c>
    </row>
    <row r="236" spans="1:9" x14ac:dyDescent="0.2">
      <c r="A236">
        <v>101652</v>
      </c>
      <c r="B236" t="s">
        <v>7</v>
      </c>
      <c r="C236" t="s">
        <v>8</v>
      </c>
      <c r="D236" t="s">
        <v>9</v>
      </c>
      <c r="E236">
        <v>161</v>
      </c>
      <c r="F236">
        <v>101</v>
      </c>
      <c r="G236" t="s">
        <v>10</v>
      </c>
      <c r="H236" t="e">
        <f t="shared" si="6"/>
        <v>#VALUE!</v>
      </c>
      <c r="I236" t="str">
        <f t="shared" si="7"/>
        <v>-</v>
      </c>
    </row>
    <row r="237" spans="1:9" x14ac:dyDescent="0.2">
      <c r="A237">
        <v>101844</v>
      </c>
      <c r="B237" t="s">
        <v>11</v>
      </c>
      <c r="C237" t="s">
        <v>8</v>
      </c>
      <c r="D237" t="s">
        <v>12</v>
      </c>
      <c r="E237">
        <v>200</v>
      </c>
      <c r="F237">
        <v>102</v>
      </c>
      <c r="G237" t="s">
        <v>10</v>
      </c>
      <c r="H237" t="e">
        <f t="shared" si="6"/>
        <v>#VALUE!</v>
      </c>
      <c r="I237" t="str">
        <f t="shared" si="7"/>
        <v>-</v>
      </c>
    </row>
    <row r="238" spans="1:9" x14ac:dyDescent="0.2">
      <c r="A238">
        <v>102057</v>
      </c>
      <c r="B238" t="s">
        <v>13</v>
      </c>
      <c r="C238" t="s">
        <v>8</v>
      </c>
      <c r="D238" t="s">
        <v>14</v>
      </c>
      <c r="E238">
        <v>25902</v>
      </c>
      <c r="F238">
        <v>1011.8</v>
      </c>
      <c r="G238" t="s">
        <v>15</v>
      </c>
      <c r="H238" t="str">
        <f t="shared" si="6"/>
        <v>PSI</v>
      </c>
      <c r="I238">
        <f t="shared" si="7"/>
        <v>14.674918303542567</v>
      </c>
    </row>
    <row r="239" spans="1:9" x14ac:dyDescent="0.2">
      <c r="A239">
        <v>102439</v>
      </c>
      <c r="B239" t="s">
        <v>16</v>
      </c>
      <c r="C239" t="s">
        <v>8</v>
      </c>
      <c r="D239" t="s">
        <v>17</v>
      </c>
      <c r="E239" t="s">
        <v>18</v>
      </c>
      <c r="F239" t="s">
        <v>18</v>
      </c>
      <c r="G239" t="s">
        <v>18</v>
      </c>
      <c r="H239" t="e">
        <f t="shared" si="6"/>
        <v>#VALUE!</v>
      </c>
      <c r="I239" t="str">
        <f t="shared" si="7"/>
        <v>-</v>
      </c>
    </row>
    <row r="240" spans="1:9" x14ac:dyDescent="0.2">
      <c r="A240">
        <v>102651</v>
      </c>
      <c r="B240" t="s">
        <v>19</v>
      </c>
      <c r="C240" t="s">
        <v>8</v>
      </c>
      <c r="D240" t="s">
        <v>20</v>
      </c>
      <c r="E240">
        <v>12985</v>
      </c>
      <c r="F240">
        <v>1014.45</v>
      </c>
      <c r="G240" t="s">
        <v>15</v>
      </c>
      <c r="H240" t="str">
        <f t="shared" si="6"/>
        <v>PSI</v>
      </c>
      <c r="I240">
        <f t="shared" si="7"/>
        <v>14.713353304041073</v>
      </c>
    </row>
    <row r="241" spans="1:9" x14ac:dyDescent="0.2">
      <c r="A241">
        <v>102863</v>
      </c>
      <c r="B241" t="s">
        <v>21</v>
      </c>
      <c r="C241" t="s">
        <v>8</v>
      </c>
      <c r="D241" t="s">
        <v>22</v>
      </c>
      <c r="E241">
        <v>3945</v>
      </c>
      <c r="F241">
        <v>986.25</v>
      </c>
      <c r="G241" t="s">
        <v>23</v>
      </c>
      <c r="H241" t="e">
        <f t="shared" si="6"/>
        <v>#VALUE!</v>
      </c>
      <c r="I241" t="str">
        <f t="shared" si="7"/>
        <v>-</v>
      </c>
    </row>
    <row r="242" spans="1:9" x14ac:dyDescent="0.2">
      <c r="A242">
        <v>103055</v>
      </c>
      <c r="B242" t="s">
        <v>24</v>
      </c>
      <c r="C242" t="s">
        <v>8</v>
      </c>
      <c r="D242" t="s">
        <v>25</v>
      </c>
      <c r="E242">
        <v>3</v>
      </c>
      <c r="F242">
        <v>3</v>
      </c>
      <c r="G242" t="s">
        <v>26</v>
      </c>
      <c r="H242" t="e">
        <f t="shared" si="6"/>
        <v>#VALUE!</v>
      </c>
      <c r="I242" t="str">
        <f t="shared" si="7"/>
        <v>-</v>
      </c>
    </row>
    <row r="243" spans="1:9" x14ac:dyDescent="0.2">
      <c r="A243">
        <v>103267</v>
      </c>
      <c r="B243" t="s">
        <v>27</v>
      </c>
      <c r="C243" t="s">
        <v>8</v>
      </c>
      <c r="D243" t="s">
        <v>28</v>
      </c>
      <c r="E243">
        <v>602</v>
      </c>
      <c r="F243">
        <v>14.14</v>
      </c>
      <c r="G243" t="s">
        <v>29</v>
      </c>
      <c r="H243" t="e">
        <f t="shared" si="6"/>
        <v>#VALUE!</v>
      </c>
      <c r="I243" t="str">
        <f t="shared" si="7"/>
        <v>-</v>
      </c>
    </row>
    <row r="244" spans="1:9" x14ac:dyDescent="0.2">
      <c r="A244">
        <v>103479</v>
      </c>
      <c r="B244" t="s">
        <v>30</v>
      </c>
      <c r="C244" t="s">
        <v>8</v>
      </c>
      <c r="D244" t="s">
        <v>31</v>
      </c>
      <c r="E244">
        <v>2961</v>
      </c>
      <c r="F244">
        <v>2961</v>
      </c>
      <c r="G244" t="s">
        <v>15</v>
      </c>
      <c r="H244" t="str">
        <f t="shared" si="6"/>
        <v>PSI</v>
      </c>
      <c r="I244">
        <f t="shared" si="7"/>
        <v>42.945674141914949</v>
      </c>
    </row>
    <row r="245" spans="1:9" x14ac:dyDescent="0.2">
      <c r="A245">
        <v>103681</v>
      </c>
      <c r="B245" t="s">
        <v>32</v>
      </c>
      <c r="C245" t="s">
        <v>8</v>
      </c>
      <c r="D245" t="s">
        <v>33</v>
      </c>
      <c r="E245">
        <v>3890</v>
      </c>
      <c r="F245">
        <v>0.95</v>
      </c>
      <c r="G245" t="s">
        <v>26</v>
      </c>
      <c r="H245" t="e">
        <f t="shared" si="6"/>
        <v>#VALUE!</v>
      </c>
      <c r="I245" t="str">
        <f t="shared" si="7"/>
        <v>-</v>
      </c>
    </row>
    <row r="246" spans="1:9" x14ac:dyDescent="0.2">
      <c r="A246">
        <v>103893</v>
      </c>
      <c r="B246" t="s">
        <v>34</v>
      </c>
      <c r="C246" t="s">
        <v>8</v>
      </c>
      <c r="D246" t="s">
        <v>35</v>
      </c>
      <c r="E246">
        <v>3858</v>
      </c>
      <c r="F246">
        <v>0.94</v>
      </c>
      <c r="G246" t="s">
        <v>26</v>
      </c>
      <c r="H246" t="e">
        <f t="shared" si="6"/>
        <v>#VALUE!</v>
      </c>
      <c r="I246" t="str">
        <f t="shared" si="7"/>
        <v>-</v>
      </c>
    </row>
    <row r="247" spans="1:9" x14ac:dyDescent="0.2">
      <c r="A247">
        <v>104265</v>
      </c>
      <c r="B247" t="s">
        <v>36</v>
      </c>
      <c r="C247" t="s">
        <v>8</v>
      </c>
      <c r="D247" t="s">
        <v>37</v>
      </c>
      <c r="E247" t="s">
        <v>18</v>
      </c>
      <c r="F247" t="s">
        <v>18</v>
      </c>
      <c r="G247" t="s">
        <v>18</v>
      </c>
      <c r="H247" t="e">
        <f t="shared" si="6"/>
        <v>#VALUE!</v>
      </c>
      <c r="I247" t="str">
        <f t="shared" si="7"/>
        <v>-</v>
      </c>
    </row>
    <row r="248" spans="1:9" x14ac:dyDescent="0.2">
      <c r="A248">
        <v>104647</v>
      </c>
      <c r="B248" t="s">
        <v>38</v>
      </c>
      <c r="C248" t="s">
        <v>8</v>
      </c>
      <c r="D248" t="s">
        <v>39</v>
      </c>
      <c r="E248" t="s">
        <v>18</v>
      </c>
      <c r="F248" t="s">
        <v>18</v>
      </c>
      <c r="G248" t="s">
        <v>18</v>
      </c>
      <c r="H248" t="e">
        <f t="shared" si="6"/>
        <v>#VALUE!</v>
      </c>
      <c r="I248" t="str">
        <f t="shared" si="7"/>
        <v>-</v>
      </c>
    </row>
    <row r="249" spans="1:9" x14ac:dyDescent="0.2">
      <c r="A249">
        <v>105029</v>
      </c>
      <c r="B249" t="s">
        <v>40</v>
      </c>
      <c r="C249" t="s">
        <v>8</v>
      </c>
      <c r="D249" t="s">
        <v>41</v>
      </c>
      <c r="E249" t="s">
        <v>18</v>
      </c>
      <c r="F249" t="s">
        <v>18</v>
      </c>
      <c r="G249" t="s">
        <v>18</v>
      </c>
      <c r="H249" t="e">
        <f t="shared" si="6"/>
        <v>#VALUE!</v>
      </c>
      <c r="I249" t="str">
        <f t="shared" si="7"/>
        <v>-</v>
      </c>
    </row>
    <row r="250" spans="1:9" x14ac:dyDescent="0.2">
      <c r="A250">
        <v>105241</v>
      </c>
      <c r="B250" t="s">
        <v>42</v>
      </c>
      <c r="C250" t="s">
        <v>8</v>
      </c>
      <c r="D250" t="s">
        <v>43</v>
      </c>
      <c r="E250">
        <v>12091</v>
      </c>
      <c r="F250">
        <v>6.05</v>
      </c>
      <c r="G250" t="s">
        <v>44</v>
      </c>
      <c r="H250" t="str">
        <f t="shared" si="6"/>
        <v>PSI</v>
      </c>
      <c r="I250">
        <f t="shared" si="7"/>
        <v>877.47831326776566</v>
      </c>
    </row>
    <row r="251" spans="1:9" x14ac:dyDescent="0.2">
      <c r="A251">
        <v>105433</v>
      </c>
      <c r="B251" t="s">
        <v>45</v>
      </c>
      <c r="C251" t="s">
        <v>8</v>
      </c>
      <c r="D251" t="s">
        <v>46</v>
      </c>
      <c r="E251">
        <v>1</v>
      </c>
      <c r="F251">
        <v>1</v>
      </c>
      <c r="G251" t="s">
        <v>15</v>
      </c>
      <c r="H251" t="str">
        <f t="shared" si="6"/>
        <v>PSI</v>
      </c>
      <c r="I251">
        <f t="shared" si="7"/>
        <v>1.4503773773020921E-2</v>
      </c>
    </row>
    <row r="252" spans="1:9" x14ac:dyDescent="0.2">
      <c r="A252">
        <v>105645</v>
      </c>
      <c r="B252" t="s">
        <v>47</v>
      </c>
      <c r="C252" t="s">
        <v>8</v>
      </c>
      <c r="D252" t="s">
        <v>48</v>
      </c>
      <c r="E252">
        <v>716</v>
      </c>
      <c r="F252">
        <v>71.599999999999994</v>
      </c>
      <c r="G252" t="s">
        <v>49</v>
      </c>
      <c r="H252" t="e">
        <f t="shared" si="6"/>
        <v>#VALUE!</v>
      </c>
      <c r="I252" t="str">
        <f t="shared" si="7"/>
        <v>-</v>
      </c>
    </row>
    <row r="253" spans="1:9" x14ac:dyDescent="0.2">
      <c r="A253">
        <v>105857</v>
      </c>
      <c r="B253" t="s">
        <v>50</v>
      </c>
      <c r="C253" t="s">
        <v>8</v>
      </c>
      <c r="D253" t="s">
        <v>51</v>
      </c>
      <c r="E253">
        <v>24493</v>
      </c>
      <c r="F253">
        <v>956.76</v>
      </c>
      <c r="G253" t="s">
        <v>15</v>
      </c>
      <c r="H253" t="str">
        <f t="shared" si="6"/>
        <v>PSI</v>
      </c>
      <c r="I253">
        <f t="shared" si="7"/>
        <v>13.876630595075497</v>
      </c>
    </row>
    <row r="254" spans="1:9" x14ac:dyDescent="0.2">
      <c r="A254">
        <v>106050</v>
      </c>
      <c r="B254" t="s">
        <v>52</v>
      </c>
      <c r="C254" t="s">
        <v>8</v>
      </c>
      <c r="D254" t="s">
        <v>53</v>
      </c>
      <c r="E254">
        <v>105</v>
      </c>
      <c r="F254">
        <v>30.75</v>
      </c>
      <c r="G254" t="s">
        <v>10</v>
      </c>
      <c r="H254" t="e">
        <f t="shared" si="6"/>
        <v>#VALUE!</v>
      </c>
      <c r="I254" t="str">
        <f t="shared" si="7"/>
        <v>-</v>
      </c>
    </row>
    <row r="255" spans="1:9" x14ac:dyDescent="0.2">
      <c r="A255">
        <v>106252</v>
      </c>
      <c r="B255" t="s">
        <v>54</v>
      </c>
      <c r="C255" t="s">
        <v>8</v>
      </c>
      <c r="D255" t="s">
        <v>55</v>
      </c>
      <c r="E255">
        <v>15</v>
      </c>
      <c r="F255">
        <v>60</v>
      </c>
      <c r="G255" t="s">
        <v>56</v>
      </c>
      <c r="H255" t="e">
        <f t="shared" si="6"/>
        <v>#VALUE!</v>
      </c>
      <c r="I255" t="str">
        <f t="shared" si="7"/>
        <v>-</v>
      </c>
    </row>
    <row r="256" spans="1:9" x14ac:dyDescent="0.2">
      <c r="A256">
        <v>106634</v>
      </c>
      <c r="B256" t="s">
        <v>57</v>
      </c>
      <c r="C256" t="s">
        <v>8</v>
      </c>
      <c r="D256" t="s">
        <v>58</v>
      </c>
      <c r="E256" t="s">
        <v>18</v>
      </c>
      <c r="F256" t="s">
        <v>18</v>
      </c>
      <c r="G256" t="s">
        <v>18</v>
      </c>
      <c r="H256" t="e">
        <f t="shared" si="6"/>
        <v>#VALUE!</v>
      </c>
      <c r="I256" t="str">
        <f t="shared" si="7"/>
        <v>-</v>
      </c>
    </row>
    <row r="257" spans="1:9" x14ac:dyDescent="0.2">
      <c r="A257">
        <v>107006</v>
      </c>
      <c r="B257" t="s">
        <v>59</v>
      </c>
      <c r="C257" t="s">
        <v>8</v>
      </c>
      <c r="D257" t="s">
        <v>60</v>
      </c>
      <c r="E257" t="s">
        <v>18</v>
      </c>
      <c r="F257" t="s">
        <v>18</v>
      </c>
      <c r="G257" t="s">
        <v>18</v>
      </c>
      <c r="H257" t="e">
        <f t="shared" si="6"/>
        <v>#VALUE!</v>
      </c>
      <c r="I257" t="str">
        <f t="shared" si="7"/>
        <v>-</v>
      </c>
    </row>
    <row r="258" spans="1:9" x14ac:dyDescent="0.2">
      <c r="A258">
        <v>107388</v>
      </c>
      <c r="B258" t="s">
        <v>61</v>
      </c>
      <c r="C258" t="s">
        <v>8</v>
      </c>
      <c r="D258" t="s">
        <v>62</v>
      </c>
      <c r="E258" t="s">
        <v>18</v>
      </c>
      <c r="F258" t="s">
        <v>18</v>
      </c>
      <c r="G258" t="s">
        <v>18</v>
      </c>
      <c r="H258" t="e">
        <f t="shared" si="6"/>
        <v>#VALUE!</v>
      </c>
      <c r="I258" t="str">
        <f t="shared" si="7"/>
        <v>-</v>
      </c>
    </row>
    <row r="259" spans="1:9" x14ac:dyDescent="0.2">
      <c r="A259">
        <v>107769</v>
      </c>
      <c r="B259" t="s">
        <v>63</v>
      </c>
      <c r="C259" t="s">
        <v>8</v>
      </c>
      <c r="D259" t="s">
        <v>64</v>
      </c>
      <c r="E259" t="s">
        <v>18</v>
      </c>
      <c r="F259" t="s">
        <v>18</v>
      </c>
      <c r="G259" t="s">
        <v>18</v>
      </c>
      <c r="H259" t="e">
        <f t="shared" ref="H259:H322" si="8">IF(FIND("Pa",G259,1),"PSI","-")</f>
        <v>#VALUE!</v>
      </c>
      <c r="I259" t="str">
        <f t="shared" ref="I259:I322" si="9">IF(G259="hPa",CONVERT(F259*100,"Pa","psi"), IF(G259="MPa",CONVERT(F259*1000000,"Pa","psi"),"-"))</f>
        <v>-</v>
      </c>
    </row>
    <row r="260" spans="1:9" x14ac:dyDescent="0.2">
      <c r="A260">
        <v>108032</v>
      </c>
      <c r="B260" t="s">
        <v>65</v>
      </c>
      <c r="C260" t="s">
        <v>8</v>
      </c>
      <c r="D260" t="s">
        <v>66</v>
      </c>
      <c r="E260">
        <v>26794</v>
      </c>
      <c r="F260">
        <v>3.27</v>
      </c>
      <c r="G260" t="s">
        <v>67</v>
      </c>
      <c r="H260" t="e">
        <f t="shared" si="8"/>
        <v>#VALUE!</v>
      </c>
      <c r="I260" t="str">
        <f t="shared" si="9"/>
        <v>-</v>
      </c>
    </row>
    <row r="261" spans="1:9" x14ac:dyDescent="0.2">
      <c r="A261">
        <v>108424</v>
      </c>
      <c r="B261" t="s">
        <v>68</v>
      </c>
      <c r="C261" t="s">
        <v>8</v>
      </c>
      <c r="D261" t="s">
        <v>69</v>
      </c>
      <c r="E261" t="s">
        <v>18</v>
      </c>
      <c r="F261" t="s">
        <v>18</v>
      </c>
      <c r="G261" t="s">
        <v>18</v>
      </c>
      <c r="H261" t="e">
        <f t="shared" si="8"/>
        <v>#VALUE!</v>
      </c>
      <c r="I261" t="str">
        <f t="shared" si="9"/>
        <v>-</v>
      </c>
    </row>
    <row r="262" spans="1:9" x14ac:dyDescent="0.2">
      <c r="A262">
        <v>108626</v>
      </c>
      <c r="B262" t="s">
        <v>7</v>
      </c>
      <c r="C262" t="s">
        <v>8</v>
      </c>
      <c r="D262" t="s">
        <v>9</v>
      </c>
      <c r="E262">
        <v>162</v>
      </c>
      <c r="F262">
        <v>102</v>
      </c>
      <c r="G262" t="s">
        <v>10</v>
      </c>
      <c r="H262" t="e">
        <f t="shared" si="8"/>
        <v>#VALUE!</v>
      </c>
      <c r="I262" t="str">
        <f t="shared" si="9"/>
        <v>-</v>
      </c>
    </row>
    <row r="263" spans="1:9" x14ac:dyDescent="0.2">
      <c r="A263">
        <v>108839</v>
      </c>
      <c r="B263" t="s">
        <v>11</v>
      </c>
      <c r="C263" t="s">
        <v>8</v>
      </c>
      <c r="D263" t="s">
        <v>12</v>
      </c>
      <c r="E263">
        <v>200</v>
      </c>
      <c r="F263">
        <v>102</v>
      </c>
      <c r="G263" t="s">
        <v>10</v>
      </c>
      <c r="H263" t="e">
        <f t="shared" si="8"/>
        <v>#VALUE!</v>
      </c>
      <c r="I263" t="str">
        <f t="shared" si="9"/>
        <v>-</v>
      </c>
    </row>
    <row r="264" spans="1:9" x14ac:dyDescent="0.2">
      <c r="A264">
        <v>109041</v>
      </c>
      <c r="B264" t="s">
        <v>13</v>
      </c>
      <c r="C264" t="s">
        <v>8</v>
      </c>
      <c r="D264" t="s">
        <v>14</v>
      </c>
      <c r="E264">
        <v>25902</v>
      </c>
      <c r="F264">
        <v>1011.8</v>
      </c>
      <c r="G264" t="s">
        <v>15</v>
      </c>
      <c r="H264" t="str">
        <f t="shared" si="8"/>
        <v>PSI</v>
      </c>
      <c r="I264">
        <f t="shared" si="9"/>
        <v>14.674918303542567</v>
      </c>
    </row>
    <row r="265" spans="1:9" x14ac:dyDescent="0.2">
      <c r="A265">
        <v>109423</v>
      </c>
      <c r="B265" t="s">
        <v>16</v>
      </c>
      <c r="C265" t="s">
        <v>8</v>
      </c>
      <c r="D265" t="s">
        <v>17</v>
      </c>
      <c r="E265" t="s">
        <v>18</v>
      </c>
      <c r="F265" t="s">
        <v>18</v>
      </c>
      <c r="G265" t="s">
        <v>18</v>
      </c>
      <c r="H265" t="e">
        <f t="shared" si="8"/>
        <v>#VALUE!</v>
      </c>
      <c r="I265" t="str">
        <f t="shared" si="9"/>
        <v>-</v>
      </c>
    </row>
    <row r="266" spans="1:9" x14ac:dyDescent="0.2">
      <c r="A266">
        <v>109635</v>
      </c>
      <c r="B266" t="s">
        <v>19</v>
      </c>
      <c r="C266" t="s">
        <v>8</v>
      </c>
      <c r="D266" t="s">
        <v>20</v>
      </c>
      <c r="E266">
        <v>13258</v>
      </c>
      <c r="F266">
        <v>1035.78</v>
      </c>
      <c r="G266" t="s">
        <v>15</v>
      </c>
      <c r="H266" t="str">
        <f t="shared" si="8"/>
        <v>PSI</v>
      </c>
      <c r="I266">
        <f t="shared" si="9"/>
        <v>15.022718798619609</v>
      </c>
    </row>
    <row r="267" spans="1:9" x14ac:dyDescent="0.2">
      <c r="A267">
        <v>109856</v>
      </c>
      <c r="B267" t="s">
        <v>21</v>
      </c>
      <c r="C267" t="s">
        <v>8</v>
      </c>
      <c r="D267" t="s">
        <v>22</v>
      </c>
      <c r="E267">
        <v>8637</v>
      </c>
      <c r="F267">
        <v>2159.25</v>
      </c>
      <c r="G267" t="s">
        <v>23</v>
      </c>
      <c r="H267" t="e">
        <f t="shared" si="8"/>
        <v>#VALUE!</v>
      </c>
      <c r="I267" t="str">
        <f t="shared" si="9"/>
        <v>-</v>
      </c>
    </row>
    <row r="268" spans="1:9" x14ac:dyDescent="0.2">
      <c r="A268">
        <v>110058</v>
      </c>
      <c r="B268" t="s">
        <v>24</v>
      </c>
      <c r="C268" t="s">
        <v>8</v>
      </c>
      <c r="D268" t="s">
        <v>25</v>
      </c>
      <c r="E268">
        <v>3</v>
      </c>
      <c r="F268">
        <v>3</v>
      </c>
      <c r="G268" t="s">
        <v>26</v>
      </c>
      <c r="H268" t="e">
        <f t="shared" si="8"/>
        <v>#VALUE!</v>
      </c>
      <c r="I268" t="str">
        <f t="shared" si="9"/>
        <v>-</v>
      </c>
    </row>
    <row r="269" spans="1:9" x14ac:dyDescent="0.2">
      <c r="A269">
        <v>110270</v>
      </c>
      <c r="B269" t="s">
        <v>27</v>
      </c>
      <c r="C269" t="s">
        <v>8</v>
      </c>
      <c r="D269" t="s">
        <v>28</v>
      </c>
      <c r="E269">
        <v>602</v>
      </c>
      <c r="F269">
        <v>14.14</v>
      </c>
      <c r="G269" t="s">
        <v>29</v>
      </c>
      <c r="H269" t="e">
        <f t="shared" si="8"/>
        <v>#VALUE!</v>
      </c>
      <c r="I269" t="str">
        <f t="shared" si="9"/>
        <v>-</v>
      </c>
    </row>
    <row r="270" spans="1:9" x14ac:dyDescent="0.2">
      <c r="A270">
        <v>110492</v>
      </c>
      <c r="B270" t="s">
        <v>30</v>
      </c>
      <c r="C270" t="s">
        <v>8</v>
      </c>
      <c r="D270" t="s">
        <v>31</v>
      </c>
      <c r="E270">
        <v>2909</v>
      </c>
      <c r="F270">
        <v>2909</v>
      </c>
      <c r="G270" t="s">
        <v>15</v>
      </c>
      <c r="H270" t="str">
        <f t="shared" si="8"/>
        <v>PSI</v>
      </c>
      <c r="I270">
        <f t="shared" si="9"/>
        <v>42.191477905717861</v>
      </c>
    </row>
    <row r="271" spans="1:9" x14ac:dyDescent="0.2">
      <c r="A271">
        <v>110704</v>
      </c>
      <c r="B271" t="s">
        <v>32</v>
      </c>
      <c r="C271" t="s">
        <v>8</v>
      </c>
      <c r="D271" t="s">
        <v>33</v>
      </c>
      <c r="E271">
        <v>4100</v>
      </c>
      <c r="F271">
        <v>1</v>
      </c>
      <c r="G271" t="s">
        <v>26</v>
      </c>
      <c r="H271" t="e">
        <f t="shared" si="8"/>
        <v>#VALUE!</v>
      </c>
      <c r="I271" t="str">
        <f t="shared" si="9"/>
        <v>-</v>
      </c>
    </row>
    <row r="272" spans="1:9" x14ac:dyDescent="0.2">
      <c r="A272">
        <v>110936</v>
      </c>
      <c r="B272" t="s">
        <v>34</v>
      </c>
      <c r="C272" t="s">
        <v>8</v>
      </c>
      <c r="D272" t="s">
        <v>35</v>
      </c>
      <c r="E272">
        <v>4212</v>
      </c>
      <c r="F272">
        <v>1.03</v>
      </c>
      <c r="G272" t="s">
        <v>26</v>
      </c>
      <c r="H272" t="e">
        <f t="shared" si="8"/>
        <v>#VALUE!</v>
      </c>
      <c r="I272" t="str">
        <f t="shared" si="9"/>
        <v>-</v>
      </c>
    </row>
    <row r="273" spans="1:9" x14ac:dyDescent="0.2">
      <c r="A273">
        <v>111338</v>
      </c>
      <c r="B273" t="s">
        <v>36</v>
      </c>
      <c r="C273" t="s">
        <v>8</v>
      </c>
      <c r="D273" t="s">
        <v>37</v>
      </c>
      <c r="E273" t="s">
        <v>18</v>
      </c>
      <c r="F273" t="s">
        <v>18</v>
      </c>
      <c r="G273" t="s">
        <v>18</v>
      </c>
      <c r="H273" t="e">
        <f t="shared" si="8"/>
        <v>#VALUE!</v>
      </c>
      <c r="I273" t="str">
        <f t="shared" si="9"/>
        <v>-</v>
      </c>
    </row>
    <row r="274" spans="1:9" x14ac:dyDescent="0.2">
      <c r="A274">
        <v>111730</v>
      </c>
      <c r="B274" t="s">
        <v>38</v>
      </c>
      <c r="C274" t="s">
        <v>8</v>
      </c>
      <c r="D274" t="s">
        <v>39</v>
      </c>
      <c r="E274" t="s">
        <v>18</v>
      </c>
      <c r="F274" t="s">
        <v>18</v>
      </c>
      <c r="G274" t="s">
        <v>18</v>
      </c>
      <c r="H274" t="e">
        <f t="shared" si="8"/>
        <v>#VALUE!</v>
      </c>
      <c r="I274" t="str">
        <f t="shared" si="9"/>
        <v>-</v>
      </c>
    </row>
    <row r="275" spans="1:9" x14ac:dyDescent="0.2">
      <c r="A275">
        <v>112112</v>
      </c>
      <c r="B275" t="s">
        <v>40</v>
      </c>
      <c r="C275" t="s">
        <v>8</v>
      </c>
      <c r="D275" t="s">
        <v>41</v>
      </c>
      <c r="E275" t="s">
        <v>18</v>
      </c>
      <c r="F275" t="s">
        <v>18</v>
      </c>
      <c r="G275" t="s">
        <v>18</v>
      </c>
      <c r="H275" t="e">
        <f t="shared" si="8"/>
        <v>#VALUE!</v>
      </c>
      <c r="I275" t="str">
        <f t="shared" si="9"/>
        <v>-</v>
      </c>
    </row>
    <row r="276" spans="1:9" x14ac:dyDescent="0.2">
      <c r="A276">
        <v>112325</v>
      </c>
      <c r="B276" t="s">
        <v>42</v>
      </c>
      <c r="C276" t="s">
        <v>8</v>
      </c>
      <c r="D276" t="s">
        <v>43</v>
      </c>
      <c r="E276">
        <v>10462</v>
      </c>
      <c r="F276">
        <v>5.23</v>
      </c>
      <c r="G276" t="s">
        <v>44</v>
      </c>
      <c r="H276" t="str">
        <f t="shared" si="8"/>
        <v>PSI</v>
      </c>
      <c r="I276">
        <f t="shared" si="9"/>
        <v>758.54736832899414</v>
      </c>
    </row>
    <row r="277" spans="1:9" x14ac:dyDescent="0.2">
      <c r="A277">
        <v>112517</v>
      </c>
      <c r="B277" t="s">
        <v>45</v>
      </c>
      <c r="C277" t="s">
        <v>8</v>
      </c>
      <c r="D277" t="s">
        <v>46</v>
      </c>
      <c r="E277">
        <v>1</v>
      </c>
      <c r="F277">
        <v>1</v>
      </c>
      <c r="G277" t="s">
        <v>15</v>
      </c>
      <c r="H277" t="str">
        <f t="shared" si="8"/>
        <v>PSI</v>
      </c>
      <c r="I277">
        <f t="shared" si="9"/>
        <v>1.4503773773020921E-2</v>
      </c>
    </row>
    <row r="278" spans="1:9" x14ac:dyDescent="0.2">
      <c r="A278">
        <v>112730</v>
      </c>
      <c r="B278" t="s">
        <v>47</v>
      </c>
      <c r="C278" t="s">
        <v>8</v>
      </c>
      <c r="D278" t="s">
        <v>48</v>
      </c>
      <c r="E278">
        <v>787</v>
      </c>
      <c r="F278">
        <v>78.7</v>
      </c>
      <c r="G278" t="s">
        <v>49</v>
      </c>
      <c r="H278" t="e">
        <f t="shared" si="8"/>
        <v>#VALUE!</v>
      </c>
      <c r="I278" t="str">
        <f t="shared" si="9"/>
        <v>-</v>
      </c>
    </row>
    <row r="279" spans="1:9" x14ac:dyDescent="0.2">
      <c r="A279">
        <v>112933</v>
      </c>
      <c r="B279" t="s">
        <v>50</v>
      </c>
      <c r="C279" t="s">
        <v>8</v>
      </c>
      <c r="D279" t="s">
        <v>51</v>
      </c>
      <c r="E279">
        <v>24516</v>
      </c>
      <c r="F279">
        <v>957.66</v>
      </c>
      <c r="G279" t="s">
        <v>15</v>
      </c>
      <c r="H279" t="str">
        <f t="shared" si="8"/>
        <v>PSI</v>
      </c>
      <c r="I279">
        <f t="shared" si="9"/>
        <v>13.889683991471214</v>
      </c>
    </row>
    <row r="280" spans="1:9" x14ac:dyDescent="0.2">
      <c r="A280">
        <v>113135</v>
      </c>
      <c r="B280" t="s">
        <v>52</v>
      </c>
      <c r="C280" t="s">
        <v>8</v>
      </c>
      <c r="D280" t="s">
        <v>53</v>
      </c>
      <c r="E280">
        <v>103</v>
      </c>
      <c r="F280">
        <v>29.25</v>
      </c>
      <c r="G280" t="s">
        <v>10</v>
      </c>
      <c r="H280" t="e">
        <f t="shared" si="8"/>
        <v>#VALUE!</v>
      </c>
      <c r="I280" t="str">
        <f t="shared" si="9"/>
        <v>-</v>
      </c>
    </row>
    <row r="281" spans="1:9" x14ac:dyDescent="0.2">
      <c r="A281">
        <v>113327</v>
      </c>
      <c r="B281" t="s">
        <v>54</v>
      </c>
      <c r="C281" t="s">
        <v>8</v>
      </c>
      <c r="D281" t="s">
        <v>55</v>
      </c>
      <c r="E281">
        <v>4</v>
      </c>
      <c r="F281">
        <v>16</v>
      </c>
      <c r="G281" t="s">
        <v>56</v>
      </c>
      <c r="H281" t="e">
        <f t="shared" si="8"/>
        <v>#VALUE!</v>
      </c>
      <c r="I281" t="str">
        <f t="shared" si="9"/>
        <v>-</v>
      </c>
    </row>
    <row r="282" spans="1:9" x14ac:dyDescent="0.2">
      <c r="A282">
        <v>113709</v>
      </c>
      <c r="B282" t="s">
        <v>57</v>
      </c>
      <c r="C282" t="s">
        <v>8</v>
      </c>
      <c r="D282" t="s">
        <v>58</v>
      </c>
      <c r="E282" t="s">
        <v>18</v>
      </c>
      <c r="F282" t="s">
        <v>18</v>
      </c>
      <c r="G282" t="s">
        <v>18</v>
      </c>
      <c r="H282" t="e">
        <f t="shared" si="8"/>
        <v>#VALUE!</v>
      </c>
      <c r="I282" t="str">
        <f t="shared" si="9"/>
        <v>-</v>
      </c>
    </row>
    <row r="283" spans="1:9" x14ac:dyDescent="0.2">
      <c r="A283">
        <v>114091</v>
      </c>
      <c r="B283" t="s">
        <v>59</v>
      </c>
      <c r="C283" t="s">
        <v>8</v>
      </c>
      <c r="D283" t="s">
        <v>60</v>
      </c>
      <c r="E283" t="s">
        <v>18</v>
      </c>
      <c r="F283" t="s">
        <v>18</v>
      </c>
      <c r="G283" t="s">
        <v>18</v>
      </c>
      <c r="H283" t="e">
        <f t="shared" si="8"/>
        <v>#VALUE!</v>
      </c>
      <c r="I283" t="str">
        <f t="shared" si="9"/>
        <v>-</v>
      </c>
    </row>
    <row r="284" spans="1:9" x14ac:dyDescent="0.2">
      <c r="A284">
        <v>114513</v>
      </c>
      <c r="B284" t="s">
        <v>61</v>
      </c>
      <c r="C284" t="s">
        <v>8</v>
      </c>
      <c r="D284" t="s">
        <v>62</v>
      </c>
      <c r="E284" t="s">
        <v>18</v>
      </c>
      <c r="F284" t="s">
        <v>18</v>
      </c>
      <c r="G284" t="s">
        <v>18</v>
      </c>
      <c r="H284" t="e">
        <f t="shared" si="8"/>
        <v>#VALUE!</v>
      </c>
      <c r="I284" t="str">
        <f t="shared" si="9"/>
        <v>-</v>
      </c>
    </row>
    <row r="285" spans="1:9" x14ac:dyDescent="0.2">
      <c r="A285">
        <v>114895</v>
      </c>
      <c r="B285" t="s">
        <v>63</v>
      </c>
      <c r="C285" t="s">
        <v>8</v>
      </c>
      <c r="D285" t="s">
        <v>64</v>
      </c>
      <c r="E285" t="s">
        <v>18</v>
      </c>
      <c r="F285" t="s">
        <v>18</v>
      </c>
      <c r="G285" t="s">
        <v>18</v>
      </c>
      <c r="H285" t="e">
        <f t="shared" si="8"/>
        <v>#VALUE!</v>
      </c>
      <c r="I285" t="str">
        <f t="shared" si="9"/>
        <v>-</v>
      </c>
    </row>
    <row r="286" spans="1:9" x14ac:dyDescent="0.2">
      <c r="A286">
        <v>115167</v>
      </c>
      <c r="B286" t="s">
        <v>65</v>
      </c>
      <c r="C286" t="s">
        <v>8</v>
      </c>
      <c r="D286" t="s">
        <v>66</v>
      </c>
      <c r="E286">
        <v>26826</v>
      </c>
      <c r="F286">
        <v>3.27</v>
      </c>
      <c r="G286" t="s">
        <v>67</v>
      </c>
      <c r="H286" t="e">
        <f t="shared" si="8"/>
        <v>#VALUE!</v>
      </c>
      <c r="I286" t="str">
        <f t="shared" si="9"/>
        <v>-</v>
      </c>
    </row>
    <row r="287" spans="1:9" x14ac:dyDescent="0.2">
      <c r="A287">
        <v>115549</v>
      </c>
      <c r="B287" t="s">
        <v>68</v>
      </c>
      <c r="C287" t="s">
        <v>8</v>
      </c>
      <c r="D287" t="s">
        <v>69</v>
      </c>
      <c r="E287" t="s">
        <v>18</v>
      </c>
      <c r="F287" t="s">
        <v>18</v>
      </c>
      <c r="G287" t="s">
        <v>18</v>
      </c>
      <c r="H287" t="e">
        <f t="shared" si="8"/>
        <v>#VALUE!</v>
      </c>
      <c r="I287" t="str">
        <f t="shared" si="9"/>
        <v>-</v>
      </c>
    </row>
    <row r="288" spans="1:9" x14ac:dyDescent="0.2">
      <c r="A288">
        <v>115751</v>
      </c>
      <c r="B288" t="s">
        <v>7</v>
      </c>
      <c r="C288" t="s">
        <v>8</v>
      </c>
      <c r="D288" t="s">
        <v>9</v>
      </c>
      <c r="E288">
        <v>162</v>
      </c>
      <c r="F288">
        <v>102</v>
      </c>
      <c r="G288" t="s">
        <v>10</v>
      </c>
      <c r="H288" t="e">
        <f t="shared" si="8"/>
        <v>#VALUE!</v>
      </c>
      <c r="I288" t="str">
        <f t="shared" si="9"/>
        <v>-</v>
      </c>
    </row>
    <row r="289" spans="1:9" x14ac:dyDescent="0.2">
      <c r="A289">
        <v>115943</v>
      </c>
      <c r="B289" t="s">
        <v>11</v>
      </c>
      <c r="C289" t="s">
        <v>8</v>
      </c>
      <c r="D289" t="s">
        <v>12</v>
      </c>
      <c r="E289">
        <v>202</v>
      </c>
      <c r="F289">
        <v>103.5</v>
      </c>
      <c r="G289" t="s">
        <v>10</v>
      </c>
      <c r="H289" t="e">
        <f t="shared" si="8"/>
        <v>#VALUE!</v>
      </c>
      <c r="I289" t="str">
        <f t="shared" si="9"/>
        <v>-</v>
      </c>
    </row>
    <row r="290" spans="1:9" x14ac:dyDescent="0.2">
      <c r="A290">
        <v>116155</v>
      </c>
      <c r="B290" t="s">
        <v>13</v>
      </c>
      <c r="C290" t="s">
        <v>8</v>
      </c>
      <c r="D290" t="s">
        <v>14</v>
      </c>
      <c r="E290">
        <v>25902</v>
      </c>
      <c r="F290">
        <v>1011.8</v>
      </c>
      <c r="G290" t="s">
        <v>15</v>
      </c>
      <c r="H290" t="str">
        <f t="shared" si="8"/>
        <v>PSI</v>
      </c>
      <c r="I290">
        <f t="shared" si="9"/>
        <v>14.674918303542567</v>
      </c>
    </row>
    <row r="291" spans="1:9" x14ac:dyDescent="0.2">
      <c r="A291">
        <v>116537</v>
      </c>
      <c r="B291" t="s">
        <v>16</v>
      </c>
      <c r="C291" t="s">
        <v>8</v>
      </c>
      <c r="D291" t="s">
        <v>17</v>
      </c>
      <c r="E291" t="s">
        <v>18</v>
      </c>
      <c r="F291" t="s">
        <v>18</v>
      </c>
      <c r="G291" t="s">
        <v>18</v>
      </c>
      <c r="H291" t="e">
        <f t="shared" si="8"/>
        <v>#VALUE!</v>
      </c>
      <c r="I291" t="str">
        <f t="shared" si="9"/>
        <v>-</v>
      </c>
    </row>
    <row r="292" spans="1:9" x14ac:dyDescent="0.2">
      <c r="A292">
        <v>116759</v>
      </c>
      <c r="B292" t="s">
        <v>19</v>
      </c>
      <c r="C292" t="s">
        <v>8</v>
      </c>
      <c r="D292" t="s">
        <v>20</v>
      </c>
      <c r="E292">
        <v>13035</v>
      </c>
      <c r="F292">
        <v>1018.36</v>
      </c>
      <c r="G292" t="s">
        <v>15</v>
      </c>
      <c r="H292" t="str">
        <f t="shared" si="8"/>
        <v>PSI</v>
      </c>
      <c r="I292">
        <f t="shared" si="9"/>
        <v>14.770063059493586</v>
      </c>
    </row>
    <row r="293" spans="1:9" x14ac:dyDescent="0.2">
      <c r="A293">
        <v>116972</v>
      </c>
      <c r="B293" t="s">
        <v>21</v>
      </c>
      <c r="C293" t="s">
        <v>8</v>
      </c>
      <c r="D293" t="s">
        <v>22</v>
      </c>
      <c r="E293">
        <v>3613</v>
      </c>
      <c r="F293">
        <v>903.25</v>
      </c>
      <c r="G293" t="s">
        <v>23</v>
      </c>
      <c r="H293" t="e">
        <f t="shared" si="8"/>
        <v>#VALUE!</v>
      </c>
      <c r="I293" t="str">
        <f t="shared" si="9"/>
        <v>-</v>
      </c>
    </row>
    <row r="294" spans="1:9" x14ac:dyDescent="0.2">
      <c r="A294">
        <v>117164</v>
      </c>
      <c r="B294" t="s">
        <v>24</v>
      </c>
      <c r="C294" t="s">
        <v>8</v>
      </c>
      <c r="D294" t="s">
        <v>25</v>
      </c>
      <c r="E294">
        <v>3</v>
      </c>
      <c r="F294">
        <v>3</v>
      </c>
      <c r="G294" t="s">
        <v>26</v>
      </c>
      <c r="H294" t="e">
        <f t="shared" si="8"/>
        <v>#VALUE!</v>
      </c>
      <c r="I294" t="str">
        <f t="shared" si="9"/>
        <v>-</v>
      </c>
    </row>
    <row r="295" spans="1:9" x14ac:dyDescent="0.2">
      <c r="A295">
        <v>117376</v>
      </c>
      <c r="B295" t="s">
        <v>27</v>
      </c>
      <c r="C295" t="s">
        <v>8</v>
      </c>
      <c r="D295" t="s">
        <v>28</v>
      </c>
      <c r="E295">
        <v>601</v>
      </c>
      <c r="F295">
        <v>14.11</v>
      </c>
      <c r="G295" t="s">
        <v>29</v>
      </c>
      <c r="H295" t="e">
        <f t="shared" si="8"/>
        <v>#VALUE!</v>
      </c>
      <c r="I295" t="str">
        <f t="shared" si="9"/>
        <v>-</v>
      </c>
    </row>
    <row r="296" spans="1:9" x14ac:dyDescent="0.2">
      <c r="A296">
        <v>117598</v>
      </c>
      <c r="B296" t="s">
        <v>30</v>
      </c>
      <c r="C296" t="s">
        <v>8</v>
      </c>
      <c r="D296" t="s">
        <v>31</v>
      </c>
      <c r="E296">
        <v>3069</v>
      </c>
      <c r="F296">
        <v>3069</v>
      </c>
      <c r="G296" t="s">
        <v>15</v>
      </c>
      <c r="H296" t="str">
        <f t="shared" si="8"/>
        <v>PSI</v>
      </c>
      <c r="I296">
        <f t="shared" si="9"/>
        <v>44.512081709401208</v>
      </c>
    </row>
    <row r="297" spans="1:9" x14ac:dyDescent="0.2">
      <c r="A297">
        <v>117810</v>
      </c>
      <c r="B297" t="s">
        <v>32</v>
      </c>
      <c r="C297" t="s">
        <v>8</v>
      </c>
      <c r="D297" t="s">
        <v>33</v>
      </c>
      <c r="E297">
        <v>4152</v>
      </c>
      <c r="F297">
        <v>1.01</v>
      </c>
      <c r="G297" t="s">
        <v>26</v>
      </c>
      <c r="H297" t="e">
        <f t="shared" si="8"/>
        <v>#VALUE!</v>
      </c>
      <c r="I297" t="str">
        <f t="shared" si="9"/>
        <v>-</v>
      </c>
    </row>
    <row r="298" spans="1:9" x14ac:dyDescent="0.2">
      <c r="A298">
        <v>118032</v>
      </c>
      <c r="B298" t="s">
        <v>34</v>
      </c>
      <c r="C298" t="s">
        <v>8</v>
      </c>
      <c r="D298" t="s">
        <v>35</v>
      </c>
      <c r="E298">
        <v>4146</v>
      </c>
      <c r="F298">
        <v>1.01</v>
      </c>
      <c r="G298" t="s">
        <v>26</v>
      </c>
      <c r="H298" t="e">
        <f t="shared" si="8"/>
        <v>#VALUE!</v>
      </c>
      <c r="I298" t="str">
        <f t="shared" si="9"/>
        <v>-</v>
      </c>
    </row>
    <row r="299" spans="1:9" x14ac:dyDescent="0.2">
      <c r="A299">
        <v>118414</v>
      </c>
      <c r="B299" t="s">
        <v>36</v>
      </c>
      <c r="C299" t="s">
        <v>8</v>
      </c>
      <c r="D299" t="s">
        <v>37</v>
      </c>
      <c r="E299" t="s">
        <v>18</v>
      </c>
      <c r="F299" t="s">
        <v>18</v>
      </c>
      <c r="G299" t="s">
        <v>18</v>
      </c>
      <c r="H299" t="e">
        <f t="shared" si="8"/>
        <v>#VALUE!</v>
      </c>
      <c r="I299" t="str">
        <f t="shared" si="9"/>
        <v>-</v>
      </c>
    </row>
    <row r="300" spans="1:9" x14ac:dyDescent="0.2">
      <c r="A300">
        <v>118796</v>
      </c>
      <c r="B300" t="s">
        <v>38</v>
      </c>
      <c r="C300" t="s">
        <v>8</v>
      </c>
      <c r="D300" t="s">
        <v>39</v>
      </c>
      <c r="E300" t="s">
        <v>18</v>
      </c>
      <c r="F300" t="s">
        <v>18</v>
      </c>
      <c r="G300" t="s">
        <v>18</v>
      </c>
      <c r="H300" t="e">
        <f t="shared" si="8"/>
        <v>#VALUE!</v>
      </c>
      <c r="I300" t="str">
        <f t="shared" si="9"/>
        <v>-</v>
      </c>
    </row>
    <row r="301" spans="1:9" x14ac:dyDescent="0.2">
      <c r="A301">
        <v>119178</v>
      </c>
      <c r="B301" t="s">
        <v>40</v>
      </c>
      <c r="C301" t="s">
        <v>8</v>
      </c>
      <c r="D301" t="s">
        <v>41</v>
      </c>
      <c r="E301" t="s">
        <v>18</v>
      </c>
      <c r="F301" t="s">
        <v>18</v>
      </c>
      <c r="G301" t="s">
        <v>18</v>
      </c>
      <c r="H301" t="e">
        <f t="shared" si="8"/>
        <v>#VALUE!</v>
      </c>
      <c r="I301" t="str">
        <f t="shared" si="9"/>
        <v>-</v>
      </c>
    </row>
    <row r="302" spans="1:9" x14ac:dyDescent="0.2">
      <c r="A302">
        <v>119390</v>
      </c>
      <c r="B302" t="s">
        <v>42</v>
      </c>
      <c r="C302" t="s">
        <v>8</v>
      </c>
      <c r="D302" t="s">
        <v>43</v>
      </c>
      <c r="E302">
        <v>10966</v>
      </c>
      <c r="F302">
        <v>5.48</v>
      </c>
      <c r="G302" t="s">
        <v>44</v>
      </c>
      <c r="H302" t="str">
        <f t="shared" si="8"/>
        <v>PSI</v>
      </c>
      <c r="I302">
        <f t="shared" si="9"/>
        <v>794.80680276154646</v>
      </c>
    </row>
    <row r="303" spans="1:9" x14ac:dyDescent="0.2">
      <c r="A303">
        <v>119572</v>
      </c>
      <c r="B303" t="s">
        <v>45</v>
      </c>
      <c r="C303" t="s">
        <v>8</v>
      </c>
      <c r="D303" t="s">
        <v>46</v>
      </c>
      <c r="E303">
        <v>1</v>
      </c>
      <c r="F303">
        <v>1</v>
      </c>
      <c r="G303" t="s">
        <v>15</v>
      </c>
      <c r="H303" t="str">
        <f t="shared" si="8"/>
        <v>PSI</v>
      </c>
      <c r="I303">
        <f t="shared" si="9"/>
        <v>1.4503773773020921E-2</v>
      </c>
    </row>
    <row r="304" spans="1:9" x14ac:dyDescent="0.2">
      <c r="A304">
        <v>119784</v>
      </c>
      <c r="B304" t="s">
        <v>47</v>
      </c>
      <c r="C304" t="s">
        <v>8</v>
      </c>
      <c r="D304" t="s">
        <v>48</v>
      </c>
      <c r="E304">
        <v>857</v>
      </c>
      <c r="F304">
        <v>85.7</v>
      </c>
      <c r="G304" t="s">
        <v>49</v>
      </c>
      <c r="H304" t="e">
        <f t="shared" si="8"/>
        <v>#VALUE!</v>
      </c>
      <c r="I304" t="str">
        <f t="shared" si="9"/>
        <v>-</v>
      </c>
    </row>
    <row r="305" spans="1:9" x14ac:dyDescent="0.2">
      <c r="A305">
        <v>120055</v>
      </c>
      <c r="B305" t="s">
        <v>50</v>
      </c>
      <c r="C305" t="s">
        <v>8</v>
      </c>
      <c r="D305" t="s">
        <v>51</v>
      </c>
      <c r="E305">
        <v>23914</v>
      </c>
      <c r="F305">
        <v>934.14</v>
      </c>
      <c r="G305" t="s">
        <v>15</v>
      </c>
      <c r="H305" t="str">
        <f t="shared" si="8"/>
        <v>PSI</v>
      </c>
      <c r="I305">
        <f t="shared" si="9"/>
        <v>13.548555232329763</v>
      </c>
    </row>
    <row r="306" spans="1:9" x14ac:dyDescent="0.2">
      <c r="A306">
        <v>120247</v>
      </c>
      <c r="B306" t="s">
        <v>52</v>
      </c>
      <c r="C306" t="s">
        <v>8</v>
      </c>
      <c r="D306" t="s">
        <v>53</v>
      </c>
      <c r="E306">
        <v>103</v>
      </c>
      <c r="F306">
        <v>29.25</v>
      </c>
      <c r="G306" t="s">
        <v>10</v>
      </c>
      <c r="H306" t="e">
        <f t="shared" si="8"/>
        <v>#VALUE!</v>
      </c>
      <c r="I306" t="str">
        <f t="shared" si="9"/>
        <v>-</v>
      </c>
    </row>
    <row r="307" spans="1:9" x14ac:dyDescent="0.2">
      <c r="A307">
        <v>120459</v>
      </c>
      <c r="B307" t="s">
        <v>54</v>
      </c>
      <c r="C307" t="s">
        <v>8</v>
      </c>
      <c r="D307" t="s">
        <v>55</v>
      </c>
      <c r="E307">
        <v>15</v>
      </c>
      <c r="F307">
        <v>60</v>
      </c>
      <c r="G307" t="s">
        <v>56</v>
      </c>
      <c r="H307" t="e">
        <f t="shared" si="8"/>
        <v>#VALUE!</v>
      </c>
      <c r="I307" t="str">
        <f t="shared" si="9"/>
        <v>-</v>
      </c>
    </row>
    <row r="308" spans="1:9" x14ac:dyDescent="0.2">
      <c r="A308">
        <v>120841</v>
      </c>
      <c r="B308" t="s">
        <v>57</v>
      </c>
      <c r="C308" t="s">
        <v>8</v>
      </c>
      <c r="D308" t="s">
        <v>58</v>
      </c>
      <c r="E308" t="s">
        <v>18</v>
      </c>
      <c r="F308" t="s">
        <v>18</v>
      </c>
      <c r="G308" t="s">
        <v>18</v>
      </c>
      <c r="H308" t="e">
        <f t="shared" si="8"/>
        <v>#VALUE!</v>
      </c>
      <c r="I308" t="str">
        <f t="shared" si="9"/>
        <v>-</v>
      </c>
    </row>
    <row r="309" spans="1:9" x14ac:dyDescent="0.2">
      <c r="A309">
        <v>121223</v>
      </c>
      <c r="B309" t="s">
        <v>59</v>
      </c>
      <c r="C309" t="s">
        <v>8</v>
      </c>
      <c r="D309" t="s">
        <v>60</v>
      </c>
      <c r="E309" t="s">
        <v>18</v>
      </c>
      <c r="F309" t="s">
        <v>18</v>
      </c>
      <c r="G309" t="s">
        <v>18</v>
      </c>
      <c r="H309" t="e">
        <f t="shared" si="8"/>
        <v>#VALUE!</v>
      </c>
      <c r="I309" t="str">
        <f t="shared" si="9"/>
        <v>-</v>
      </c>
    </row>
    <row r="310" spans="1:9" x14ac:dyDescent="0.2">
      <c r="A310">
        <v>121605</v>
      </c>
      <c r="B310" t="s">
        <v>61</v>
      </c>
      <c r="C310" t="s">
        <v>8</v>
      </c>
      <c r="D310" t="s">
        <v>62</v>
      </c>
      <c r="E310" t="s">
        <v>18</v>
      </c>
      <c r="F310" t="s">
        <v>18</v>
      </c>
      <c r="G310" t="s">
        <v>18</v>
      </c>
      <c r="H310" t="e">
        <f t="shared" si="8"/>
        <v>#VALUE!</v>
      </c>
      <c r="I310" t="str">
        <f t="shared" si="9"/>
        <v>-</v>
      </c>
    </row>
    <row r="311" spans="1:9" x14ac:dyDescent="0.2">
      <c r="A311">
        <v>121986</v>
      </c>
      <c r="B311" t="s">
        <v>63</v>
      </c>
      <c r="C311" t="s">
        <v>8</v>
      </c>
      <c r="D311" t="s">
        <v>64</v>
      </c>
      <c r="E311" t="s">
        <v>18</v>
      </c>
      <c r="F311" t="s">
        <v>18</v>
      </c>
      <c r="G311" t="s">
        <v>18</v>
      </c>
      <c r="H311" t="e">
        <f t="shared" si="8"/>
        <v>#VALUE!</v>
      </c>
      <c r="I311" t="str">
        <f t="shared" si="9"/>
        <v>-</v>
      </c>
    </row>
    <row r="312" spans="1:9" x14ac:dyDescent="0.2">
      <c r="A312">
        <v>122248</v>
      </c>
      <c r="B312" t="s">
        <v>65</v>
      </c>
      <c r="C312" t="s">
        <v>8</v>
      </c>
      <c r="D312" t="s">
        <v>66</v>
      </c>
      <c r="E312">
        <v>26869</v>
      </c>
      <c r="F312">
        <v>3.28</v>
      </c>
      <c r="G312" t="s">
        <v>67</v>
      </c>
      <c r="H312" t="e">
        <f t="shared" si="8"/>
        <v>#VALUE!</v>
      </c>
      <c r="I312" t="str">
        <f t="shared" si="9"/>
        <v>-</v>
      </c>
    </row>
    <row r="313" spans="1:9" x14ac:dyDescent="0.2">
      <c r="A313">
        <v>122680</v>
      </c>
      <c r="B313" t="s">
        <v>68</v>
      </c>
      <c r="C313" t="s">
        <v>8</v>
      </c>
      <c r="D313" t="s">
        <v>69</v>
      </c>
      <c r="E313" t="s">
        <v>18</v>
      </c>
      <c r="F313" t="s">
        <v>18</v>
      </c>
      <c r="G313" t="s">
        <v>18</v>
      </c>
      <c r="H313" t="e">
        <f t="shared" si="8"/>
        <v>#VALUE!</v>
      </c>
      <c r="I313" t="str">
        <f t="shared" si="9"/>
        <v>-</v>
      </c>
    </row>
    <row r="314" spans="1:9" x14ac:dyDescent="0.2">
      <c r="A314">
        <v>122892</v>
      </c>
      <c r="B314" t="s">
        <v>7</v>
      </c>
      <c r="C314" t="s">
        <v>8</v>
      </c>
      <c r="D314" t="s">
        <v>9</v>
      </c>
      <c r="E314">
        <v>162</v>
      </c>
      <c r="F314">
        <v>102</v>
      </c>
      <c r="G314" t="s">
        <v>10</v>
      </c>
      <c r="H314" t="e">
        <f t="shared" si="8"/>
        <v>#VALUE!</v>
      </c>
      <c r="I314" t="str">
        <f t="shared" si="9"/>
        <v>-</v>
      </c>
    </row>
    <row r="315" spans="1:9" x14ac:dyDescent="0.2">
      <c r="A315">
        <v>123104</v>
      </c>
      <c r="B315" t="s">
        <v>11</v>
      </c>
      <c r="C315" t="s">
        <v>8</v>
      </c>
      <c r="D315" t="s">
        <v>12</v>
      </c>
      <c r="E315">
        <v>203</v>
      </c>
      <c r="F315">
        <v>104.25</v>
      </c>
      <c r="G315" t="s">
        <v>10</v>
      </c>
      <c r="H315" t="e">
        <f t="shared" si="8"/>
        <v>#VALUE!</v>
      </c>
      <c r="I315" t="str">
        <f t="shared" si="9"/>
        <v>-</v>
      </c>
    </row>
    <row r="316" spans="1:9" x14ac:dyDescent="0.2">
      <c r="A316">
        <v>123336</v>
      </c>
      <c r="B316" t="s">
        <v>13</v>
      </c>
      <c r="C316" t="s">
        <v>8</v>
      </c>
      <c r="D316" t="s">
        <v>14</v>
      </c>
      <c r="E316">
        <v>25902</v>
      </c>
      <c r="F316">
        <v>1011.8</v>
      </c>
      <c r="G316" t="s">
        <v>15</v>
      </c>
      <c r="H316" t="str">
        <f t="shared" si="8"/>
        <v>PSI</v>
      </c>
      <c r="I316">
        <f t="shared" si="9"/>
        <v>14.674918303542567</v>
      </c>
    </row>
    <row r="317" spans="1:9" x14ac:dyDescent="0.2">
      <c r="A317">
        <v>123718</v>
      </c>
      <c r="B317" t="s">
        <v>16</v>
      </c>
      <c r="C317" t="s">
        <v>8</v>
      </c>
      <c r="D317" t="s">
        <v>17</v>
      </c>
      <c r="E317" t="s">
        <v>18</v>
      </c>
      <c r="F317" t="s">
        <v>18</v>
      </c>
      <c r="G317" t="s">
        <v>18</v>
      </c>
      <c r="H317" t="e">
        <f t="shared" si="8"/>
        <v>#VALUE!</v>
      </c>
      <c r="I317" t="str">
        <f t="shared" si="9"/>
        <v>-</v>
      </c>
    </row>
    <row r="318" spans="1:9" x14ac:dyDescent="0.2">
      <c r="A318">
        <v>123930</v>
      </c>
      <c r="B318" t="s">
        <v>19</v>
      </c>
      <c r="C318" t="s">
        <v>8</v>
      </c>
      <c r="D318" t="s">
        <v>20</v>
      </c>
      <c r="E318">
        <v>13270</v>
      </c>
      <c r="F318">
        <v>1036.72</v>
      </c>
      <c r="G318" t="s">
        <v>15</v>
      </c>
      <c r="H318" t="str">
        <f t="shared" si="8"/>
        <v>PSI</v>
      </c>
      <c r="I318">
        <f t="shared" si="9"/>
        <v>15.036352345966248</v>
      </c>
    </row>
    <row r="319" spans="1:9" x14ac:dyDescent="0.2">
      <c r="A319">
        <v>124142</v>
      </c>
      <c r="B319" t="s">
        <v>21</v>
      </c>
      <c r="C319" t="s">
        <v>8</v>
      </c>
      <c r="D319" t="s">
        <v>22</v>
      </c>
      <c r="E319">
        <v>8511</v>
      </c>
      <c r="F319">
        <v>2127.75</v>
      </c>
      <c r="G319" t="s">
        <v>23</v>
      </c>
      <c r="H319" t="e">
        <f t="shared" si="8"/>
        <v>#VALUE!</v>
      </c>
      <c r="I319" t="str">
        <f t="shared" si="9"/>
        <v>-</v>
      </c>
    </row>
    <row r="320" spans="1:9" x14ac:dyDescent="0.2">
      <c r="A320">
        <v>124334</v>
      </c>
      <c r="B320" t="s">
        <v>24</v>
      </c>
      <c r="C320" t="s">
        <v>8</v>
      </c>
      <c r="D320" t="s">
        <v>25</v>
      </c>
      <c r="E320">
        <v>3</v>
      </c>
      <c r="F320">
        <v>3</v>
      </c>
      <c r="G320" t="s">
        <v>26</v>
      </c>
      <c r="H320" t="e">
        <f t="shared" si="8"/>
        <v>#VALUE!</v>
      </c>
      <c r="I320" t="str">
        <f t="shared" si="9"/>
        <v>-</v>
      </c>
    </row>
    <row r="321" spans="1:9" x14ac:dyDescent="0.2">
      <c r="A321">
        <v>124546</v>
      </c>
      <c r="B321" t="s">
        <v>27</v>
      </c>
      <c r="C321" t="s">
        <v>8</v>
      </c>
      <c r="D321" t="s">
        <v>28</v>
      </c>
      <c r="E321">
        <v>603</v>
      </c>
      <c r="F321">
        <v>14.16</v>
      </c>
      <c r="G321" t="s">
        <v>29</v>
      </c>
      <c r="H321" t="e">
        <f t="shared" si="8"/>
        <v>#VALUE!</v>
      </c>
      <c r="I321" t="str">
        <f t="shared" si="9"/>
        <v>-</v>
      </c>
    </row>
    <row r="322" spans="1:9" x14ac:dyDescent="0.2">
      <c r="A322">
        <v>124758</v>
      </c>
      <c r="B322" t="s">
        <v>30</v>
      </c>
      <c r="C322" t="s">
        <v>8</v>
      </c>
      <c r="D322" t="s">
        <v>31</v>
      </c>
      <c r="E322">
        <v>2839</v>
      </c>
      <c r="F322">
        <v>2839</v>
      </c>
      <c r="G322" t="s">
        <v>15</v>
      </c>
      <c r="H322" t="str">
        <f t="shared" si="8"/>
        <v>PSI</v>
      </c>
      <c r="I322">
        <f t="shared" si="9"/>
        <v>41.176213741606396</v>
      </c>
    </row>
    <row r="323" spans="1:9" x14ac:dyDescent="0.2">
      <c r="A323">
        <v>124971</v>
      </c>
      <c r="B323" t="s">
        <v>32</v>
      </c>
      <c r="C323" t="s">
        <v>8</v>
      </c>
      <c r="D323" t="s">
        <v>33</v>
      </c>
      <c r="E323">
        <v>4099</v>
      </c>
      <c r="F323">
        <v>1</v>
      </c>
      <c r="G323" t="s">
        <v>26</v>
      </c>
      <c r="H323" t="e">
        <f t="shared" ref="H323:H386" si="10">IF(FIND("Pa",G323,1),"PSI","-")</f>
        <v>#VALUE!</v>
      </c>
      <c r="I323" t="str">
        <f t="shared" ref="I323:I386" si="11">IF(G323="hPa",CONVERT(F323*100,"Pa","psi"), IF(G323="MPa",CONVERT(F323*1000000,"Pa","psi"),"-"))</f>
        <v>-</v>
      </c>
    </row>
    <row r="324" spans="1:9" x14ac:dyDescent="0.2">
      <c r="A324">
        <v>125194</v>
      </c>
      <c r="B324" t="s">
        <v>34</v>
      </c>
      <c r="C324" t="s">
        <v>8</v>
      </c>
      <c r="D324" t="s">
        <v>35</v>
      </c>
      <c r="E324">
        <v>3967</v>
      </c>
      <c r="F324">
        <v>0.97</v>
      </c>
      <c r="G324" t="s">
        <v>26</v>
      </c>
      <c r="H324" t="e">
        <f t="shared" si="10"/>
        <v>#VALUE!</v>
      </c>
      <c r="I324" t="str">
        <f t="shared" si="11"/>
        <v>-</v>
      </c>
    </row>
    <row r="325" spans="1:9" x14ac:dyDescent="0.2">
      <c r="A325">
        <v>125576</v>
      </c>
      <c r="B325" t="s">
        <v>36</v>
      </c>
      <c r="C325" t="s">
        <v>8</v>
      </c>
      <c r="D325" t="s">
        <v>37</v>
      </c>
      <c r="E325" t="s">
        <v>18</v>
      </c>
      <c r="F325" t="s">
        <v>18</v>
      </c>
      <c r="G325" t="s">
        <v>18</v>
      </c>
      <c r="H325" t="e">
        <f t="shared" si="10"/>
        <v>#VALUE!</v>
      </c>
      <c r="I325" t="str">
        <f t="shared" si="11"/>
        <v>-</v>
      </c>
    </row>
    <row r="326" spans="1:9" x14ac:dyDescent="0.2">
      <c r="A326">
        <v>125958</v>
      </c>
      <c r="B326" t="s">
        <v>38</v>
      </c>
      <c r="C326" t="s">
        <v>8</v>
      </c>
      <c r="D326" t="s">
        <v>39</v>
      </c>
      <c r="E326" t="s">
        <v>18</v>
      </c>
      <c r="F326" t="s">
        <v>18</v>
      </c>
      <c r="G326" t="s">
        <v>18</v>
      </c>
      <c r="H326" t="e">
        <f t="shared" si="10"/>
        <v>#VALUE!</v>
      </c>
      <c r="I326" t="str">
        <f t="shared" si="11"/>
        <v>-</v>
      </c>
    </row>
    <row r="327" spans="1:9" x14ac:dyDescent="0.2">
      <c r="A327">
        <v>126340</v>
      </c>
      <c r="B327" t="s">
        <v>40</v>
      </c>
      <c r="C327" t="s">
        <v>8</v>
      </c>
      <c r="D327" t="s">
        <v>41</v>
      </c>
      <c r="E327" t="s">
        <v>18</v>
      </c>
      <c r="F327" t="s">
        <v>18</v>
      </c>
      <c r="G327" t="s">
        <v>18</v>
      </c>
      <c r="H327" t="e">
        <f t="shared" si="10"/>
        <v>#VALUE!</v>
      </c>
      <c r="I327" t="str">
        <f t="shared" si="11"/>
        <v>-</v>
      </c>
    </row>
    <row r="328" spans="1:9" x14ac:dyDescent="0.2">
      <c r="A328">
        <v>126542</v>
      </c>
      <c r="B328" t="s">
        <v>42</v>
      </c>
      <c r="C328" t="s">
        <v>8</v>
      </c>
      <c r="D328" t="s">
        <v>43</v>
      </c>
      <c r="E328">
        <v>10405</v>
      </c>
      <c r="F328">
        <v>5.2</v>
      </c>
      <c r="G328" t="s">
        <v>44</v>
      </c>
      <c r="H328" t="str">
        <f t="shared" si="10"/>
        <v>PSI</v>
      </c>
      <c r="I328">
        <f t="shared" si="11"/>
        <v>754.19623619708784</v>
      </c>
    </row>
    <row r="329" spans="1:9" x14ac:dyDescent="0.2">
      <c r="A329">
        <v>126734</v>
      </c>
      <c r="B329" t="s">
        <v>45</v>
      </c>
      <c r="C329" t="s">
        <v>8</v>
      </c>
      <c r="D329" t="s">
        <v>46</v>
      </c>
      <c r="E329">
        <v>2</v>
      </c>
      <c r="F329">
        <v>2</v>
      </c>
      <c r="G329" t="s">
        <v>15</v>
      </c>
      <c r="H329" t="str">
        <f t="shared" si="10"/>
        <v>PSI</v>
      </c>
      <c r="I329">
        <f t="shared" si="11"/>
        <v>2.9007547546041842E-2</v>
      </c>
    </row>
    <row r="330" spans="1:9" x14ac:dyDescent="0.2">
      <c r="A330">
        <v>126946</v>
      </c>
      <c r="B330" t="s">
        <v>47</v>
      </c>
      <c r="C330" t="s">
        <v>8</v>
      </c>
      <c r="D330" t="s">
        <v>48</v>
      </c>
      <c r="E330">
        <v>929</v>
      </c>
      <c r="F330">
        <v>92.9</v>
      </c>
      <c r="G330" t="s">
        <v>49</v>
      </c>
      <c r="H330" t="e">
        <f t="shared" si="10"/>
        <v>#VALUE!</v>
      </c>
      <c r="I330" t="str">
        <f t="shared" si="11"/>
        <v>-</v>
      </c>
    </row>
    <row r="331" spans="1:9" x14ac:dyDescent="0.2">
      <c r="A331">
        <v>127158</v>
      </c>
      <c r="B331" t="s">
        <v>50</v>
      </c>
      <c r="C331" t="s">
        <v>8</v>
      </c>
      <c r="D331" t="s">
        <v>51</v>
      </c>
      <c r="E331">
        <v>24487</v>
      </c>
      <c r="F331">
        <v>956.52</v>
      </c>
      <c r="G331" t="s">
        <v>15</v>
      </c>
      <c r="H331" t="str">
        <f t="shared" si="10"/>
        <v>PSI</v>
      </c>
      <c r="I331">
        <f t="shared" si="11"/>
        <v>13.873149689369971</v>
      </c>
    </row>
    <row r="332" spans="1:9" x14ac:dyDescent="0.2">
      <c r="A332">
        <v>127340</v>
      </c>
      <c r="B332" t="s">
        <v>52</v>
      </c>
      <c r="C332" t="s">
        <v>8</v>
      </c>
      <c r="D332" t="s">
        <v>53</v>
      </c>
      <c r="E332">
        <v>101</v>
      </c>
      <c r="F332">
        <v>27.75</v>
      </c>
      <c r="G332" t="s">
        <v>10</v>
      </c>
      <c r="H332" t="e">
        <f t="shared" si="10"/>
        <v>#VALUE!</v>
      </c>
      <c r="I332" t="str">
        <f t="shared" si="11"/>
        <v>-</v>
      </c>
    </row>
    <row r="333" spans="1:9" x14ac:dyDescent="0.2">
      <c r="A333">
        <v>127522</v>
      </c>
      <c r="B333" t="s">
        <v>54</v>
      </c>
      <c r="C333" t="s">
        <v>8</v>
      </c>
      <c r="D333" t="s">
        <v>55</v>
      </c>
      <c r="E333">
        <v>4</v>
      </c>
      <c r="F333">
        <v>16</v>
      </c>
      <c r="G333" t="s">
        <v>56</v>
      </c>
      <c r="H333" t="e">
        <f t="shared" si="10"/>
        <v>#VALUE!</v>
      </c>
      <c r="I333" t="str">
        <f t="shared" si="11"/>
        <v>-</v>
      </c>
    </row>
    <row r="334" spans="1:9" x14ac:dyDescent="0.2">
      <c r="A334">
        <v>127905</v>
      </c>
      <c r="B334" t="s">
        <v>57</v>
      </c>
      <c r="C334" t="s">
        <v>8</v>
      </c>
      <c r="D334" t="s">
        <v>58</v>
      </c>
      <c r="E334" t="s">
        <v>18</v>
      </c>
      <c r="F334" t="s">
        <v>18</v>
      </c>
      <c r="G334" t="s">
        <v>18</v>
      </c>
      <c r="H334" t="e">
        <f t="shared" si="10"/>
        <v>#VALUE!</v>
      </c>
      <c r="I334" t="str">
        <f t="shared" si="11"/>
        <v>-</v>
      </c>
    </row>
    <row r="335" spans="1:9" x14ac:dyDescent="0.2">
      <c r="A335">
        <v>128287</v>
      </c>
      <c r="B335" t="s">
        <v>59</v>
      </c>
      <c r="C335" t="s">
        <v>8</v>
      </c>
      <c r="D335" t="s">
        <v>60</v>
      </c>
      <c r="E335" t="s">
        <v>18</v>
      </c>
      <c r="F335" t="s">
        <v>18</v>
      </c>
      <c r="G335" t="s">
        <v>18</v>
      </c>
      <c r="H335" t="e">
        <f t="shared" si="10"/>
        <v>#VALUE!</v>
      </c>
      <c r="I335" t="str">
        <f t="shared" si="11"/>
        <v>-</v>
      </c>
    </row>
    <row r="336" spans="1:9" x14ac:dyDescent="0.2">
      <c r="A336">
        <v>128669</v>
      </c>
      <c r="B336" t="s">
        <v>61</v>
      </c>
      <c r="C336" t="s">
        <v>8</v>
      </c>
      <c r="D336" t="s">
        <v>62</v>
      </c>
      <c r="E336" t="s">
        <v>18</v>
      </c>
      <c r="F336" t="s">
        <v>18</v>
      </c>
      <c r="G336" t="s">
        <v>18</v>
      </c>
      <c r="H336" t="e">
        <f t="shared" si="10"/>
        <v>#VALUE!</v>
      </c>
      <c r="I336" t="str">
        <f t="shared" si="11"/>
        <v>-</v>
      </c>
    </row>
    <row r="337" spans="1:9" x14ac:dyDescent="0.2">
      <c r="A337">
        <v>129041</v>
      </c>
      <c r="B337" t="s">
        <v>63</v>
      </c>
      <c r="C337" t="s">
        <v>8</v>
      </c>
      <c r="D337" t="s">
        <v>64</v>
      </c>
      <c r="E337" t="s">
        <v>18</v>
      </c>
      <c r="F337" t="s">
        <v>18</v>
      </c>
      <c r="G337" t="s">
        <v>18</v>
      </c>
      <c r="H337" t="e">
        <f t="shared" si="10"/>
        <v>#VALUE!</v>
      </c>
      <c r="I337" t="str">
        <f t="shared" si="11"/>
        <v>-</v>
      </c>
    </row>
    <row r="338" spans="1:9" x14ac:dyDescent="0.2">
      <c r="A338">
        <v>129293</v>
      </c>
      <c r="B338" t="s">
        <v>65</v>
      </c>
      <c r="C338" t="s">
        <v>8</v>
      </c>
      <c r="D338" t="s">
        <v>66</v>
      </c>
      <c r="E338">
        <v>26893</v>
      </c>
      <c r="F338">
        <v>3.28</v>
      </c>
      <c r="G338" t="s">
        <v>67</v>
      </c>
      <c r="H338" t="e">
        <f t="shared" si="10"/>
        <v>#VALUE!</v>
      </c>
      <c r="I338" t="str">
        <f t="shared" si="11"/>
        <v>-</v>
      </c>
    </row>
    <row r="339" spans="1:9" x14ac:dyDescent="0.2">
      <c r="A339">
        <v>129675</v>
      </c>
      <c r="B339" t="s">
        <v>68</v>
      </c>
      <c r="C339" t="s">
        <v>8</v>
      </c>
      <c r="D339" t="s">
        <v>69</v>
      </c>
      <c r="E339" t="s">
        <v>18</v>
      </c>
      <c r="F339" t="s">
        <v>18</v>
      </c>
      <c r="G339" t="s">
        <v>18</v>
      </c>
      <c r="H339" t="e">
        <f t="shared" si="10"/>
        <v>#VALUE!</v>
      </c>
      <c r="I339" t="str">
        <f t="shared" si="11"/>
        <v>-</v>
      </c>
    </row>
    <row r="340" spans="1:9" x14ac:dyDescent="0.2">
      <c r="A340">
        <v>129877</v>
      </c>
      <c r="B340" t="s">
        <v>7</v>
      </c>
      <c r="C340" t="s">
        <v>8</v>
      </c>
      <c r="D340" t="s">
        <v>9</v>
      </c>
      <c r="E340">
        <v>162</v>
      </c>
      <c r="F340">
        <v>102</v>
      </c>
      <c r="G340" t="s">
        <v>10</v>
      </c>
      <c r="H340" t="e">
        <f t="shared" si="10"/>
        <v>#VALUE!</v>
      </c>
      <c r="I340" t="str">
        <f t="shared" si="11"/>
        <v>-</v>
      </c>
    </row>
    <row r="341" spans="1:9" x14ac:dyDescent="0.2">
      <c r="A341">
        <v>130069</v>
      </c>
      <c r="B341" t="s">
        <v>11</v>
      </c>
      <c r="C341" t="s">
        <v>8</v>
      </c>
      <c r="D341" t="s">
        <v>12</v>
      </c>
      <c r="E341">
        <v>204</v>
      </c>
      <c r="F341">
        <v>105</v>
      </c>
      <c r="G341" t="s">
        <v>10</v>
      </c>
      <c r="H341" t="e">
        <f t="shared" si="10"/>
        <v>#VALUE!</v>
      </c>
      <c r="I341" t="str">
        <f t="shared" si="11"/>
        <v>-</v>
      </c>
    </row>
    <row r="342" spans="1:9" x14ac:dyDescent="0.2">
      <c r="A342">
        <v>130281</v>
      </c>
      <c r="B342" t="s">
        <v>13</v>
      </c>
      <c r="C342" t="s">
        <v>8</v>
      </c>
      <c r="D342" t="s">
        <v>14</v>
      </c>
      <c r="E342">
        <v>25902</v>
      </c>
      <c r="F342">
        <v>1011.8</v>
      </c>
      <c r="G342" t="s">
        <v>15</v>
      </c>
      <c r="H342" t="str">
        <f t="shared" si="10"/>
        <v>PSI</v>
      </c>
      <c r="I342">
        <f t="shared" si="11"/>
        <v>14.674918303542567</v>
      </c>
    </row>
    <row r="343" spans="1:9" x14ac:dyDescent="0.2">
      <c r="A343">
        <v>130653</v>
      </c>
      <c r="B343" t="s">
        <v>16</v>
      </c>
      <c r="C343" t="s">
        <v>8</v>
      </c>
      <c r="D343" t="s">
        <v>17</v>
      </c>
      <c r="E343" t="s">
        <v>18</v>
      </c>
      <c r="F343" t="s">
        <v>18</v>
      </c>
      <c r="G343" t="s">
        <v>18</v>
      </c>
      <c r="H343" t="e">
        <f t="shared" si="10"/>
        <v>#VALUE!</v>
      </c>
      <c r="I343" t="str">
        <f t="shared" si="11"/>
        <v>-</v>
      </c>
    </row>
    <row r="344" spans="1:9" x14ac:dyDescent="0.2">
      <c r="A344">
        <v>130865</v>
      </c>
      <c r="B344" t="s">
        <v>19</v>
      </c>
      <c r="C344" t="s">
        <v>8</v>
      </c>
      <c r="D344" t="s">
        <v>20</v>
      </c>
      <c r="E344">
        <v>12928</v>
      </c>
      <c r="F344">
        <v>1010</v>
      </c>
      <c r="G344" t="s">
        <v>15</v>
      </c>
      <c r="H344" t="str">
        <f t="shared" si="10"/>
        <v>PSI</v>
      </c>
      <c r="I344">
        <f t="shared" si="11"/>
        <v>14.648811510751131</v>
      </c>
    </row>
    <row r="345" spans="1:9" x14ac:dyDescent="0.2">
      <c r="A345">
        <v>131077</v>
      </c>
      <c r="B345" t="s">
        <v>21</v>
      </c>
      <c r="C345" t="s">
        <v>8</v>
      </c>
      <c r="D345" t="s">
        <v>22</v>
      </c>
      <c r="E345">
        <v>3727</v>
      </c>
      <c r="F345">
        <v>931.75</v>
      </c>
      <c r="G345" t="s">
        <v>23</v>
      </c>
      <c r="H345" t="e">
        <f t="shared" si="10"/>
        <v>#VALUE!</v>
      </c>
      <c r="I345" t="str">
        <f t="shared" si="11"/>
        <v>-</v>
      </c>
    </row>
    <row r="346" spans="1:9" x14ac:dyDescent="0.2">
      <c r="A346">
        <v>131269</v>
      </c>
      <c r="B346" t="s">
        <v>24</v>
      </c>
      <c r="C346" t="s">
        <v>8</v>
      </c>
      <c r="D346" t="s">
        <v>25</v>
      </c>
      <c r="E346">
        <v>3</v>
      </c>
      <c r="F346">
        <v>3</v>
      </c>
      <c r="G346" t="s">
        <v>26</v>
      </c>
      <c r="H346" t="e">
        <f t="shared" si="10"/>
        <v>#VALUE!</v>
      </c>
      <c r="I346" t="str">
        <f t="shared" si="11"/>
        <v>-</v>
      </c>
    </row>
    <row r="347" spans="1:9" x14ac:dyDescent="0.2">
      <c r="A347">
        <v>131481</v>
      </c>
      <c r="B347" t="s">
        <v>27</v>
      </c>
      <c r="C347" t="s">
        <v>8</v>
      </c>
      <c r="D347" t="s">
        <v>28</v>
      </c>
      <c r="E347">
        <v>600</v>
      </c>
      <c r="F347">
        <v>14.09</v>
      </c>
      <c r="G347" t="s">
        <v>29</v>
      </c>
      <c r="H347" t="e">
        <f t="shared" si="10"/>
        <v>#VALUE!</v>
      </c>
      <c r="I347" t="str">
        <f t="shared" si="11"/>
        <v>-</v>
      </c>
    </row>
    <row r="348" spans="1:9" x14ac:dyDescent="0.2">
      <c r="A348">
        <v>131693</v>
      </c>
      <c r="B348" t="s">
        <v>30</v>
      </c>
      <c r="C348" t="s">
        <v>8</v>
      </c>
      <c r="D348" t="s">
        <v>31</v>
      </c>
      <c r="E348">
        <v>2921</v>
      </c>
      <c r="F348">
        <v>2921</v>
      </c>
      <c r="G348" t="s">
        <v>15</v>
      </c>
      <c r="H348" t="str">
        <f t="shared" si="10"/>
        <v>PSI</v>
      </c>
      <c r="I348">
        <f t="shared" si="11"/>
        <v>42.365523190994111</v>
      </c>
    </row>
    <row r="349" spans="1:9" x14ac:dyDescent="0.2">
      <c r="A349">
        <v>131905</v>
      </c>
      <c r="B349" t="s">
        <v>32</v>
      </c>
      <c r="C349" t="s">
        <v>8</v>
      </c>
      <c r="D349" t="s">
        <v>33</v>
      </c>
      <c r="E349">
        <v>3698</v>
      </c>
      <c r="F349">
        <v>0.9</v>
      </c>
      <c r="G349" t="s">
        <v>26</v>
      </c>
      <c r="H349" t="e">
        <f t="shared" si="10"/>
        <v>#VALUE!</v>
      </c>
      <c r="I349" t="str">
        <f t="shared" si="11"/>
        <v>-</v>
      </c>
    </row>
    <row r="350" spans="1:9" x14ac:dyDescent="0.2">
      <c r="A350">
        <v>132118</v>
      </c>
      <c r="B350" t="s">
        <v>34</v>
      </c>
      <c r="C350" t="s">
        <v>8</v>
      </c>
      <c r="D350" t="s">
        <v>35</v>
      </c>
      <c r="E350">
        <v>3636</v>
      </c>
      <c r="F350">
        <v>0.89</v>
      </c>
      <c r="G350" t="s">
        <v>26</v>
      </c>
      <c r="H350" t="e">
        <f t="shared" si="10"/>
        <v>#VALUE!</v>
      </c>
      <c r="I350" t="str">
        <f t="shared" si="11"/>
        <v>-</v>
      </c>
    </row>
    <row r="351" spans="1:9" x14ac:dyDescent="0.2">
      <c r="A351">
        <v>132500</v>
      </c>
      <c r="B351" t="s">
        <v>36</v>
      </c>
      <c r="C351" t="s">
        <v>8</v>
      </c>
      <c r="D351" t="s">
        <v>37</v>
      </c>
      <c r="E351" t="s">
        <v>18</v>
      </c>
      <c r="F351" t="s">
        <v>18</v>
      </c>
      <c r="G351" t="s">
        <v>18</v>
      </c>
      <c r="H351" t="e">
        <f t="shared" si="10"/>
        <v>#VALUE!</v>
      </c>
      <c r="I351" t="str">
        <f t="shared" si="11"/>
        <v>-</v>
      </c>
    </row>
    <row r="352" spans="1:9" x14ac:dyDescent="0.2">
      <c r="A352">
        <v>132872</v>
      </c>
      <c r="B352" t="s">
        <v>38</v>
      </c>
      <c r="C352" t="s">
        <v>8</v>
      </c>
      <c r="D352" t="s">
        <v>39</v>
      </c>
      <c r="E352" t="s">
        <v>18</v>
      </c>
      <c r="F352" t="s">
        <v>18</v>
      </c>
      <c r="G352" t="s">
        <v>18</v>
      </c>
      <c r="H352" t="e">
        <f t="shared" si="10"/>
        <v>#VALUE!</v>
      </c>
      <c r="I352" t="str">
        <f t="shared" si="11"/>
        <v>-</v>
      </c>
    </row>
    <row r="353" spans="1:9" x14ac:dyDescent="0.2">
      <c r="A353">
        <v>133254</v>
      </c>
      <c r="B353" t="s">
        <v>40</v>
      </c>
      <c r="C353" t="s">
        <v>8</v>
      </c>
      <c r="D353" t="s">
        <v>41</v>
      </c>
      <c r="E353" t="s">
        <v>18</v>
      </c>
      <c r="F353" t="s">
        <v>18</v>
      </c>
      <c r="G353" t="s">
        <v>18</v>
      </c>
      <c r="H353" t="e">
        <f t="shared" si="10"/>
        <v>#VALUE!</v>
      </c>
      <c r="I353" t="str">
        <f t="shared" si="11"/>
        <v>-</v>
      </c>
    </row>
    <row r="354" spans="1:9" x14ac:dyDescent="0.2">
      <c r="A354">
        <v>133466</v>
      </c>
      <c r="B354" t="s">
        <v>42</v>
      </c>
      <c r="C354" t="s">
        <v>8</v>
      </c>
      <c r="D354" t="s">
        <v>43</v>
      </c>
      <c r="E354">
        <v>14315</v>
      </c>
      <c r="F354">
        <v>7.16</v>
      </c>
      <c r="G354" t="s">
        <v>44</v>
      </c>
      <c r="H354" t="str">
        <f t="shared" si="10"/>
        <v>PSI</v>
      </c>
      <c r="I354">
        <f t="shared" si="11"/>
        <v>1038.4702021482979</v>
      </c>
    </row>
    <row r="355" spans="1:9" x14ac:dyDescent="0.2">
      <c r="A355">
        <v>133658</v>
      </c>
      <c r="B355" t="s">
        <v>45</v>
      </c>
      <c r="C355" t="s">
        <v>8</v>
      </c>
      <c r="D355" t="s">
        <v>46</v>
      </c>
      <c r="E355">
        <v>1</v>
      </c>
      <c r="F355">
        <v>1</v>
      </c>
      <c r="G355" t="s">
        <v>15</v>
      </c>
      <c r="H355" t="str">
        <f t="shared" si="10"/>
        <v>PSI</v>
      </c>
      <c r="I355">
        <f t="shared" si="11"/>
        <v>1.4503773773020921E-2</v>
      </c>
    </row>
    <row r="356" spans="1:9" x14ac:dyDescent="0.2">
      <c r="A356">
        <v>133870</v>
      </c>
      <c r="B356" t="s">
        <v>47</v>
      </c>
      <c r="C356" t="s">
        <v>8</v>
      </c>
      <c r="D356" t="s">
        <v>48</v>
      </c>
      <c r="E356">
        <v>998</v>
      </c>
      <c r="F356">
        <v>99.8</v>
      </c>
      <c r="G356" t="s">
        <v>49</v>
      </c>
      <c r="H356" t="e">
        <f t="shared" si="10"/>
        <v>#VALUE!</v>
      </c>
      <c r="I356" t="str">
        <f t="shared" si="11"/>
        <v>-</v>
      </c>
    </row>
    <row r="357" spans="1:9" x14ac:dyDescent="0.2">
      <c r="A357">
        <v>134082</v>
      </c>
      <c r="B357" t="s">
        <v>50</v>
      </c>
      <c r="C357" t="s">
        <v>8</v>
      </c>
      <c r="D357" t="s">
        <v>51</v>
      </c>
      <c r="E357">
        <v>24433</v>
      </c>
      <c r="F357">
        <v>954.41</v>
      </c>
      <c r="G357" t="s">
        <v>15</v>
      </c>
      <c r="H357" t="str">
        <f t="shared" si="10"/>
        <v>PSI</v>
      </c>
      <c r="I357">
        <f t="shared" si="11"/>
        <v>13.842546726708896</v>
      </c>
    </row>
    <row r="358" spans="1:9" x14ac:dyDescent="0.2">
      <c r="A358">
        <v>134274</v>
      </c>
      <c r="B358" t="s">
        <v>52</v>
      </c>
      <c r="C358" t="s">
        <v>8</v>
      </c>
      <c r="D358" t="s">
        <v>53</v>
      </c>
      <c r="E358">
        <v>101</v>
      </c>
      <c r="F358">
        <v>27.75</v>
      </c>
      <c r="G358" t="s">
        <v>10</v>
      </c>
      <c r="H358" t="e">
        <f t="shared" si="10"/>
        <v>#VALUE!</v>
      </c>
      <c r="I358" t="str">
        <f t="shared" si="11"/>
        <v>-</v>
      </c>
    </row>
    <row r="359" spans="1:9" x14ac:dyDescent="0.2">
      <c r="A359">
        <v>134466</v>
      </c>
      <c r="B359" t="s">
        <v>54</v>
      </c>
      <c r="C359" t="s">
        <v>8</v>
      </c>
      <c r="D359" t="s">
        <v>55</v>
      </c>
      <c r="E359">
        <v>6</v>
      </c>
      <c r="F359">
        <v>24</v>
      </c>
      <c r="G359" t="s">
        <v>56</v>
      </c>
      <c r="H359" t="e">
        <f t="shared" si="10"/>
        <v>#VALUE!</v>
      </c>
      <c r="I359" t="str">
        <f t="shared" si="11"/>
        <v>-</v>
      </c>
    </row>
    <row r="360" spans="1:9" x14ac:dyDescent="0.2">
      <c r="A360">
        <v>134848</v>
      </c>
      <c r="B360" t="s">
        <v>57</v>
      </c>
      <c r="C360" t="s">
        <v>8</v>
      </c>
      <c r="D360" t="s">
        <v>58</v>
      </c>
      <c r="E360" t="s">
        <v>18</v>
      </c>
      <c r="F360" t="s">
        <v>18</v>
      </c>
      <c r="G360" t="s">
        <v>18</v>
      </c>
      <c r="H360" t="e">
        <f t="shared" si="10"/>
        <v>#VALUE!</v>
      </c>
      <c r="I360" t="str">
        <f t="shared" si="11"/>
        <v>-</v>
      </c>
    </row>
    <row r="361" spans="1:9" x14ac:dyDescent="0.2">
      <c r="A361">
        <v>135250</v>
      </c>
      <c r="B361" t="s">
        <v>59</v>
      </c>
      <c r="C361" t="s">
        <v>8</v>
      </c>
      <c r="D361" t="s">
        <v>60</v>
      </c>
      <c r="E361" t="s">
        <v>18</v>
      </c>
      <c r="F361" t="s">
        <v>18</v>
      </c>
      <c r="G361" t="s">
        <v>18</v>
      </c>
      <c r="H361" t="e">
        <f t="shared" si="10"/>
        <v>#VALUE!</v>
      </c>
      <c r="I361" t="str">
        <f t="shared" si="11"/>
        <v>-</v>
      </c>
    </row>
    <row r="362" spans="1:9" x14ac:dyDescent="0.2">
      <c r="A362">
        <v>135631</v>
      </c>
      <c r="B362" t="s">
        <v>61</v>
      </c>
      <c r="C362" t="s">
        <v>8</v>
      </c>
      <c r="D362" t="s">
        <v>62</v>
      </c>
      <c r="E362" t="s">
        <v>18</v>
      </c>
      <c r="F362" t="s">
        <v>18</v>
      </c>
      <c r="G362" t="s">
        <v>18</v>
      </c>
      <c r="H362" t="e">
        <f t="shared" si="10"/>
        <v>#VALUE!</v>
      </c>
      <c r="I362" t="str">
        <f t="shared" si="11"/>
        <v>-</v>
      </c>
    </row>
    <row r="363" spans="1:9" x14ac:dyDescent="0.2">
      <c r="A363">
        <v>136083</v>
      </c>
      <c r="B363" t="s">
        <v>63</v>
      </c>
      <c r="C363" t="s">
        <v>8</v>
      </c>
      <c r="D363" t="s">
        <v>64</v>
      </c>
      <c r="E363" t="s">
        <v>18</v>
      </c>
      <c r="F363" t="s">
        <v>18</v>
      </c>
      <c r="G363" t="s">
        <v>18</v>
      </c>
      <c r="H363" t="e">
        <f t="shared" si="10"/>
        <v>#VALUE!</v>
      </c>
      <c r="I363" t="str">
        <f t="shared" si="11"/>
        <v>-</v>
      </c>
    </row>
    <row r="364" spans="1:9" x14ac:dyDescent="0.2">
      <c r="A364">
        <v>136335</v>
      </c>
      <c r="B364" t="s">
        <v>65</v>
      </c>
      <c r="C364" t="s">
        <v>8</v>
      </c>
      <c r="D364" t="s">
        <v>66</v>
      </c>
      <c r="E364">
        <v>26932</v>
      </c>
      <c r="F364">
        <v>3.29</v>
      </c>
      <c r="G364" t="s">
        <v>67</v>
      </c>
      <c r="H364" t="e">
        <f t="shared" si="10"/>
        <v>#VALUE!</v>
      </c>
      <c r="I364" t="str">
        <f t="shared" si="11"/>
        <v>-</v>
      </c>
    </row>
    <row r="365" spans="1:9" x14ac:dyDescent="0.2">
      <c r="A365">
        <v>136718</v>
      </c>
      <c r="B365" t="s">
        <v>68</v>
      </c>
      <c r="C365" t="s">
        <v>8</v>
      </c>
      <c r="D365" t="s">
        <v>69</v>
      </c>
      <c r="E365" t="s">
        <v>18</v>
      </c>
      <c r="F365" t="s">
        <v>18</v>
      </c>
      <c r="G365" t="s">
        <v>18</v>
      </c>
      <c r="H365" t="e">
        <f t="shared" si="10"/>
        <v>#VALUE!</v>
      </c>
      <c r="I365" t="str">
        <f t="shared" si="11"/>
        <v>-</v>
      </c>
    </row>
    <row r="366" spans="1:9" x14ac:dyDescent="0.2">
      <c r="A366">
        <v>136910</v>
      </c>
      <c r="B366" t="s">
        <v>7</v>
      </c>
      <c r="C366" t="s">
        <v>8</v>
      </c>
      <c r="D366" t="s">
        <v>9</v>
      </c>
      <c r="E366">
        <v>162</v>
      </c>
      <c r="F366">
        <v>102</v>
      </c>
      <c r="G366" t="s">
        <v>10</v>
      </c>
      <c r="H366" t="e">
        <f t="shared" si="10"/>
        <v>#VALUE!</v>
      </c>
      <c r="I366" t="str">
        <f t="shared" si="11"/>
        <v>-</v>
      </c>
    </row>
    <row r="367" spans="1:9" x14ac:dyDescent="0.2">
      <c r="A367">
        <v>137092</v>
      </c>
      <c r="B367" t="s">
        <v>11</v>
      </c>
      <c r="C367" t="s">
        <v>8</v>
      </c>
      <c r="D367" t="s">
        <v>12</v>
      </c>
      <c r="E367">
        <v>205</v>
      </c>
      <c r="F367">
        <v>105.75</v>
      </c>
      <c r="G367" t="s">
        <v>10</v>
      </c>
      <c r="H367" t="e">
        <f t="shared" si="10"/>
        <v>#VALUE!</v>
      </c>
      <c r="I367" t="str">
        <f t="shared" si="11"/>
        <v>-</v>
      </c>
    </row>
    <row r="368" spans="1:9" x14ac:dyDescent="0.2">
      <c r="A368">
        <v>137333</v>
      </c>
      <c r="B368" t="s">
        <v>13</v>
      </c>
      <c r="C368" t="s">
        <v>8</v>
      </c>
      <c r="D368" t="s">
        <v>14</v>
      </c>
      <c r="E368">
        <v>25902</v>
      </c>
      <c r="F368">
        <v>1011.8</v>
      </c>
      <c r="G368" t="s">
        <v>15</v>
      </c>
      <c r="H368" t="str">
        <f t="shared" si="10"/>
        <v>PSI</v>
      </c>
      <c r="I368">
        <f t="shared" si="11"/>
        <v>14.674918303542567</v>
      </c>
    </row>
    <row r="369" spans="1:9" x14ac:dyDescent="0.2">
      <c r="A369">
        <v>137715</v>
      </c>
      <c r="B369" t="s">
        <v>16</v>
      </c>
      <c r="C369" t="s">
        <v>8</v>
      </c>
      <c r="D369" t="s">
        <v>17</v>
      </c>
      <c r="E369" t="s">
        <v>18</v>
      </c>
      <c r="F369" t="s">
        <v>18</v>
      </c>
      <c r="G369" t="s">
        <v>18</v>
      </c>
      <c r="H369" t="e">
        <f t="shared" si="10"/>
        <v>#VALUE!</v>
      </c>
      <c r="I369" t="str">
        <f t="shared" si="11"/>
        <v>-</v>
      </c>
    </row>
    <row r="370" spans="1:9" x14ac:dyDescent="0.2">
      <c r="A370">
        <v>137986</v>
      </c>
      <c r="B370" t="s">
        <v>19</v>
      </c>
      <c r="C370" t="s">
        <v>8</v>
      </c>
      <c r="D370" t="s">
        <v>20</v>
      </c>
      <c r="E370">
        <v>13029</v>
      </c>
      <c r="F370">
        <v>1017.89</v>
      </c>
      <c r="G370" t="s">
        <v>15</v>
      </c>
      <c r="H370" t="str">
        <f t="shared" si="10"/>
        <v>PSI</v>
      </c>
      <c r="I370">
        <f t="shared" si="11"/>
        <v>14.763246285820266</v>
      </c>
    </row>
    <row r="371" spans="1:9" x14ac:dyDescent="0.2">
      <c r="A371">
        <v>138208</v>
      </c>
      <c r="B371" t="s">
        <v>21</v>
      </c>
      <c r="C371" t="s">
        <v>8</v>
      </c>
      <c r="D371" t="s">
        <v>22</v>
      </c>
      <c r="E371">
        <v>4119</v>
      </c>
      <c r="F371">
        <v>1029.75</v>
      </c>
      <c r="G371" t="s">
        <v>23</v>
      </c>
      <c r="H371" t="e">
        <f t="shared" si="10"/>
        <v>#VALUE!</v>
      </c>
      <c r="I371" t="str">
        <f t="shared" si="11"/>
        <v>-</v>
      </c>
    </row>
    <row r="372" spans="1:9" x14ac:dyDescent="0.2">
      <c r="A372">
        <v>138400</v>
      </c>
      <c r="B372" t="s">
        <v>24</v>
      </c>
      <c r="C372" t="s">
        <v>8</v>
      </c>
      <c r="D372" t="s">
        <v>25</v>
      </c>
      <c r="E372">
        <v>3</v>
      </c>
      <c r="F372">
        <v>3</v>
      </c>
      <c r="G372" t="s">
        <v>26</v>
      </c>
      <c r="H372" t="e">
        <f t="shared" si="10"/>
        <v>#VALUE!</v>
      </c>
      <c r="I372" t="str">
        <f t="shared" si="11"/>
        <v>-</v>
      </c>
    </row>
    <row r="373" spans="1:9" x14ac:dyDescent="0.2">
      <c r="A373">
        <v>138612</v>
      </c>
      <c r="B373" t="s">
        <v>27</v>
      </c>
      <c r="C373" t="s">
        <v>8</v>
      </c>
      <c r="D373" t="s">
        <v>28</v>
      </c>
      <c r="E373">
        <v>602</v>
      </c>
      <c r="F373">
        <v>14.14</v>
      </c>
      <c r="G373" t="s">
        <v>29</v>
      </c>
      <c r="H373" t="e">
        <f t="shared" si="10"/>
        <v>#VALUE!</v>
      </c>
      <c r="I373" t="str">
        <f t="shared" si="11"/>
        <v>-</v>
      </c>
    </row>
    <row r="374" spans="1:9" x14ac:dyDescent="0.2">
      <c r="A374">
        <v>138834</v>
      </c>
      <c r="B374" t="s">
        <v>30</v>
      </c>
      <c r="C374" t="s">
        <v>8</v>
      </c>
      <c r="D374" t="s">
        <v>31</v>
      </c>
      <c r="E374">
        <v>12</v>
      </c>
      <c r="F374">
        <v>12</v>
      </c>
      <c r="G374" t="s">
        <v>15</v>
      </c>
      <c r="H374" t="str">
        <f t="shared" si="10"/>
        <v>PSI</v>
      </c>
      <c r="I374">
        <f t="shared" si="11"/>
        <v>0.17404528527625104</v>
      </c>
    </row>
    <row r="375" spans="1:9" x14ac:dyDescent="0.2">
      <c r="A375">
        <v>139047</v>
      </c>
      <c r="B375" t="s">
        <v>32</v>
      </c>
      <c r="C375" t="s">
        <v>8</v>
      </c>
      <c r="D375" t="s">
        <v>33</v>
      </c>
      <c r="E375">
        <v>4447</v>
      </c>
      <c r="F375">
        <v>1.0900000000000001</v>
      </c>
      <c r="G375" t="s">
        <v>26</v>
      </c>
      <c r="H375" t="e">
        <f t="shared" si="10"/>
        <v>#VALUE!</v>
      </c>
      <c r="I375" t="str">
        <f t="shared" si="11"/>
        <v>-</v>
      </c>
    </row>
    <row r="376" spans="1:9" x14ac:dyDescent="0.2">
      <c r="A376">
        <v>139259</v>
      </c>
      <c r="B376" t="s">
        <v>34</v>
      </c>
      <c r="C376" t="s">
        <v>8</v>
      </c>
      <c r="D376" t="s">
        <v>35</v>
      </c>
      <c r="E376">
        <v>3927</v>
      </c>
      <c r="F376">
        <v>0.96</v>
      </c>
      <c r="G376" t="s">
        <v>26</v>
      </c>
      <c r="H376" t="e">
        <f t="shared" si="10"/>
        <v>#VALUE!</v>
      </c>
      <c r="I376" t="str">
        <f t="shared" si="11"/>
        <v>-</v>
      </c>
    </row>
    <row r="377" spans="1:9" x14ac:dyDescent="0.2">
      <c r="A377">
        <v>139660</v>
      </c>
      <c r="B377" t="s">
        <v>36</v>
      </c>
      <c r="C377" t="s">
        <v>8</v>
      </c>
      <c r="D377" t="s">
        <v>37</v>
      </c>
      <c r="E377" t="s">
        <v>18</v>
      </c>
      <c r="F377" t="s">
        <v>18</v>
      </c>
      <c r="G377" t="s">
        <v>18</v>
      </c>
      <c r="H377" t="e">
        <f t="shared" si="10"/>
        <v>#VALUE!</v>
      </c>
      <c r="I377" t="str">
        <f t="shared" si="11"/>
        <v>-</v>
      </c>
    </row>
    <row r="378" spans="1:9" x14ac:dyDescent="0.2">
      <c r="A378">
        <v>140042</v>
      </c>
      <c r="B378" t="s">
        <v>38</v>
      </c>
      <c r="C378" t="s">
        <v>8</v>
      </c>
      <c r="D378" t="s">
        <v>39</v>
      </c>
      <c r="E378" t="s">
        <v>18</v>
      </c>
      <c r="F378" t="s">
        <v>18</v>
      </c>
      <c r="G378" t="s">
        <v>18</v>
      </c>
      <c r="H378" t="e">
        <f t="shared" si="10"/>
        <v>#VALUE!</v>
      </c>
      <c r="I378" t="str">
        <f t="shared" si="11"/>
        <v>-</v>
      </c>
    </row>
    <row r="379" spans="1:9" x14ac:dyDescent="0.2">
      <c r="A379">
        <v>140434</v>
      </c>
      <c r="B379" t="s">
        <v>40</v>
      </c>
      <c r="C379" t="s">
        <v>8</v>
      </c>
      <c r="D379" t="s">
        <v>41</v>
      </c>
      <c r="E379" t="s">
        <v>18</v>
      </c>
      <c r="F379" t="s">
        <v>18</v>
      </c>
      <c r="G379" t="s">
        <v>18</v>
      </c>
      <c r="H379" t="e">
        <f t="shared" si="10"/>
        <v>#VALUE!</v>
      </c>
      <c r="I379" t="str">
        <f t="shared" si="11"/>
        <v>-</v>
      </c>
    </row>
    <row r="380" spans="1:9" x14ac:dyDescent="0.2">
      <c r="A380">
        <v>140686</v>
      </c>
      <c r="B380" t="s">
        <v>42</v>
      </c>
      <c r="C380" t="s">
        <v>8</v>
      </c>
      <c r="D380" t="s">
        <v>43</v>
      </c>
      <c r="E380">
        <v>9565</v>
      </c>
      <c r="F380">
        <v>4.78</v>
      </c>
      <c r="G380" t="s">
        <v>44</v>
      </c>
      <c r="H380" t="str">
        <f t="shared" si="10"/>
        <v>PSI</v>
      </c>
      <c r="I380">
        <f t="shared" si="11"/>
        <v>693.28038635040002</v>
      </c>
    </row>
    <row r="381" spans="1:9" x14ac:dyDescent="0.2">
      <c r="A381">
        <v>140868</v>
      </c>
      <c r="B381" t="s">
        <v>45</v>
      </c>
      <c r="C381" t="s">
        <v>8</v>
      </c>
      <c r="D381" t="s">
        <v>46</v>
      </c>
      <c r="E381">
        <v>1</v>
      </c>
      <c r="F381">
        <v>1</v>
      </c>
      <c r="G381" t="s">
        <v>15</v>
      </c>
      <c r="H381" t="str">
        <f t="shared" si="10"/>
        <v>PSI</v>
      </c>
      <c r="I381">
        <f t="shared" si="11"/>
        <v>1.4503773773020921E-2</v>
      </c>
    </row>
    <row r="382" spans="1:9" x14ac:dyDescent="0.2">
      <c r="A382">
        <v>141090</v>
      </c>
      <c r="B382" t="s">
        <v>47</v>
      </c>
      <c r="C382" t="s">
        <v>8</v>
      </c>
      <c r="D382" t="s">
        <v>48</v>
      </c>
      <c r="E382">
        <v>1070</v>
      </c>
      <c r="F382">
        <v>107</v>
      </c>
      <c r="G382" t="s">
        <v>49</v>
      </c>
      <c r="H382" t="e">
        <f t="shared" si="10"/>
        <v>#VALUE!</v>
      </c>
      <c r="I382" t="str">
        <f t="shared" si="11"/>
        <v>-</v>
      </c>
    </row>
    <row r="383" spans="1:9" x14ac:dyDescent="0.2">
      <c r="A383">
        <v>141293</v>
      </c>
      <c r="B383" t="s">
        <v>50</v>
      </c>
      <c r="C383" t="s">
        <v>8</v>
      </c>
      <c r="D383" t="s">
        <v>51</v>
      </c>
      <c r="E383">
        <v>25517</v>
      </c>
      <c r="F383">
        <v>996.76</v>
      </c>
      <c r="G383" t="s">
        <v>15</v>
      </c>
      <c r="H383" t="str">
        <f t="shared" si="10"/>
        <v>PSI</v>
      </c>
      <c r="I383">
        <f t="shared" si="11"/>
        <v>14.456781545996334</v>
      </c>
    </row>
    <row r="384" spans="1:9" x14ac:dyDescent="0.2">
      <c r="A384">
        <v>141485</v>
      </c>
      <c r="B384" t="s">
        <v>52</v>
      </c>
      <c r="C384" t="s">
        <v>8</v>
      </c>
      <c r="D384" t="s">
        <v>53</v>
      </c>
      <c r="E384">
        <v>101</v>
      </c>
      <c r="F384">
        <v>27.75</v>
      </c>
      <c r="G384" t="s">
        <v>10</v>
      </c>
      <c r="H384" t="e">
        <f t="shared" si="10"/>
        <v>#VALUE!</v>
      </c>
      <c r="I384" t="str">
        <f t="shared" si="11"/>
        <v>-</v>
      </c>
    </row>
    <row r="385" spans="1:9" x14ac:dyDescent="0.2">
      <c r="A385">
        <v>141677</v>
      </c>
      <c r="B385" t="s">
        <v>54</v>
      </c>
      <c r="C385" t="s">
        <v>8</v>
      </c>
      <c r="D385" t="s">
        <v>55</v>
      </c>
      <c r="E385">
        <v>14</v>
      </c>
      <c r="F385">
        <v>56</v>
      </c>
      <c r="G385" t="s">
        <v>56</v>
      </c>
      <c r="H385" t="e">
        <f t="shared" si="10"/>
        <v>#VALUE!</v>
      </c>
      <c r="I385" t="str">
        <f t="shared" si="11"/>
        <v>-</v>
      </c>
    </row>
    <row r="386" spans="1:9" x14ac:dyDescent="0.2">
      <c r="A386">
        <v>142069</v>
      </c>
      <c r="B386" t="s">
        <v>57</v>
      </c>
      <c r="C386" t="s">
        <v>8</v>
      </c>
      <c r="D386" t="s">
        <v>58</v>
      </c>
      <c r="E386" t="s">
        <v>18</v>
      </c>
      <c r="F386" t="s">
        <v>18</v>
      </c>
      <c r="G386" t="s">
        <v>18</v>
      </c>
      <c r="H386" t="e">
        <f t="shared" si="10"/>
        <v>#VALUE!</v>
      </c>
      <c r="I386" t="str">
        <f t="shared" si="11"/>
        <v>-</v>
      </c>
    </row>
    <row r="387" spans="1:9" x14ac:dyDescent="0.2">
      <c r="A387">
        <v>142461</v>
      </c>
      <c r="B387" t="s">
        <v>59</v>
      </c>
      <c r="C387" t="s">
        <v>8</v>
      </c>
      <c r="D387" t="s">
        <v>60</v>
      </c>
      <c r="E387" t="s">
        <v>18</v>
      </c>
      <c r="F387" t="s">
        <v>18</v>
      </c>
      <c r="G387" t="s">
        <v>18</v>
      </c>
      <c r="H387" t="e">
        <f t="shared" ref="H387:H450" si="12">IF(FIND("Pa",G387,1),"PSI","-")</f>
        <v>#VALUE!</v>
      </c>
      <c r="I387" t="str">
        <f t="shared" ref="I387:I450" si="13">IF(G387="hPa",CONVERT(F387*100,"Pa","psi"), IF(G387="MPa",CONVERT(F387*1000000,"Pa","psi"),"-"))</f>
        <v>-</v>
      </c>
    </row>
    <row r="388" spans="1:9" x14ac:dyDescent="0.2">
      <c r="A388">
        <v>142843</v>
      </c>
      <c r="B388" t="s">
        <v>61</v>
      </c>
      <c r="C388" t="s">
        <v>8</v>
      </c>
      <c r="D388" t="s">
        <v>62</v>
      </c>
      <c r="E388" t="s">
        <v>18</v>
      </c>
      <c r="F388" t="s">
        <v>18</v>
      </c>
      <c r="G388" t="s">
        <v>18</v>
      </c>
      <c r="H388" t="e">
        <f t="shared" si="12"/>
        <v>#VALUE!</v>
      </c>
      <c r="I388" t="str">
        <f t="shared" si="13"/>
        <v>-</v>
      </c>
    </row>
    <row r="389" spans="1:9" x14ac:dyDescent="0.2">
      <c r="A389">
        <v>143265</v>
      </c>
      <c r="B389" t="s">
        <v>63</v>
      </c>
      <c r="C389" t="s">
        <v>8</v>
      </c>
      <c r="D389" t="s">
        <v>64</v>
      </c>
      <c r="E389" t="s">
        <v>18</v>
      </c>
      <c r="F389" t="s">
        <v>18</v>
      </c>
      <c r="G389" t="s">
        <v>18</v>
      </c>
      <c r="H389" t="e">
        <f t="shared" si="12"/>
        <v>#VALUE!</v>
      </c>
      <c r="I389" t="str">
        <f t="shared" si="13"/>
        <v>-</v>
      </c>
    </row>
    <row r="390" spans="1:9" x14ac:dyDescent="0.2">
      <c r="A390">
        <v>143517</v>
      </c>
      <c r="B390" t="s">
        <v>65</v>
      </c>
      <c r="C390" t="s">
        <v>8</v>
      </c>
      <c r="D390" t="s">
        <v>66</v>
      </c>
      <c r="E390">
        <v>26964</v>
      </c>
      <c r="F390">
        <v>3.29</v>
      </c>
      <c r="G390" t="s">
        <v>67</v>
      </c>
      <c r="H390" t="e">
        <f t="shared" si="12"/>
        <v>#VALUE!</v>
      </c>
      <c r="I390" t="str">
        <f t="shared" si="13"/>
        <v>-</v>
      </c>
    </row>
    <row r="391" spans="1:9" x14ac:dyDescent="0.2">
      <c r="A391">
        <v>143899</v>
      </c>
      <c r="B391" t="s">
        <v>68</v>
      </c>
      <c r="C391" t="s">
        <v>8</v>
      </c>
      <c r="D391" t="s">
        <v>69</v>
      </c>
      <c r="E391" t="s">
        <v>18</v>
      </c>
      <c r="F391" t="s">
        <v>18</v>
      </c>
      <c r="G391" t="s">
        <v>18</v>
      </c>
      <c r="H391" t="e">
        <f t="shared" si="12"/>
        <v>#VALUE!</v>
      </c>
      <c r="I391" t="str">
        <f t="shared" si="13"/>
        <v>-</v>
      </c>
    </row>
    <row r="392" spans="1:9" x14ac:dyDescent="0.2">
      <c r="A392">
        <v>144092</v>
      </c>
      <c r="B392" t="s">
        <v>7</v>
      </c>
      <c r="C392" t="s">
        <v>8</v>
      </c>
      <c r="D392" t="s">
        <v>9</v>
      </c>
      <c r="E392">
        <v>162</v>
      </c>
      <c r="F392">
        <v>102</v>
      </c>
      <c r="G392" t="s">
        <v>10</v>
      </c>
      <c r="H392" t="e">
        <f t="shared" si="12"/>
        <v>#VALUE!</v>
      </c>
      <c r="I392" t="str">
        <f t="shared" si="13"/>
        <v>-</v>
      </c>
    </row>
    <row r="393" spans="1:9" x14ac:dyDescent="0.2">
      <c r="A393">
        <v>144294</v>
      </c>
      <c r="B393" t="s">
        <v>11</v>
      </c>
      <c r="C393" t="s">
        <v>8</v>
      </c>
      <c r="D393" t="s">
        <v>12</v>
      </c>
      <c r="E393">
        <v>204</v>
      </c>
      <c r="F393">
        <v>105</v>
      </c>
      <c r="G393" t="s">
        <v>10</v>
      </c>
      <c r="H393" t="e">
        <f t="shared" si="12"/>
        <v>#VALUE!</v>
      </c>
      <c r="I393" t="str">
        <f t="shared" si="13"/>
        <v>-</v>
      </c>
    </row>
    <row r="394" spans="1:9" x14ac:dyDescent="0.2">
      <c r="A394">
        <v>144506</v>
      </c>
      <c r="B394" t="s">
        <v>13</v>
      </c>
      <c r="C394" t="s">
        <v>8</v>
      </c>
      <c r="D394" t="s">
        <v>14</v>
      </c>
      <c r="E394">
        <v>25902</v>
      </c>
      <c r="F394">
        <v>1011.8</v>
      </c>
      <c r="G394" t="s">
        <v>15</v>
      </c>
      <c r="H394" t="str">
        <f t="shared" si="12"/>
        <v>PSI</v>
      </c>
      <c r="I394">
        <f t="shared" si="13"/>
        <v>14.674918303542567</v>
      </c>
    </row>
    <row r="395" spans="1:9" x14ac:dyDescent="0.2">
      <c r="A395">
        <v>144888</v>
      </c>
      <c r="B395" t="s">
        <v>16</v>
      </c>
      <c r="C395" t="s">
        <v>8</v>
      </c>
      <c r="D395" t="s">
        <v>17</v>
      </c>
      <c r="E395" t="s">
        <v>18</v>
      </c>
      <c r="F395" t="s">
        <v>18</v>
      </c>
      <c r="G395" t="s">
        <v>18</v>
      </c>
      <c r="H395" t="e">
        <f t="shared" si="12"/>
        <v>#VALUE!</v>
      </c>
      <c r="I395" t="str">
        <f t="shared" si="13"/>
        <v>-</v>
      </c>
    </row>
    <row r="396" spans="1:9" x14ac:dyDescent="0.2">
      <c r="A396">
        <v>145091</v>
      </c>
      <c r="B396" t="s">
        <v>19</v>
      </c>
      <c r="C396" t="s">
        <v>8</v>
      </c>
      <c r="D396" t="s">
        <v>20</v>
      </c>
      <c r="E396">
        <v>13129</v>
      </c>
      <c r="F396">
        <v>1025.7</v>
      </c>
      <c r="G396" t="s">
        <v>15</v>
      </c>
      <c r="H396" t="str">
        <f t="shared" si="12"/>
        <v>PSI</v>
      </c>
      <c r="I396">
        <f t="shared" si="13"/>
        <v>14.876520758987558</v>
      </c>
    </row>
    <row r="397" spans="1:9" x14ac:dyDescent="0.2">
      <c r="A397">
        <v>145303</v>
      </c>
      <c r="B397" t="s">
        <v>21</v>
      </c>
      <c r="C397" t="s">
        <v>8</v>
      </c>
      <c r="D397" t="s">
        <v>22</v>
      </c>
      <c r="E397">
        <v>5871</v>
      </c>
      <c r="F397">
        <v>1467.75</v>
      </c>
      <c r="G397" t="s">
        <v>23</v>
      </c>
      <c r="H397" t="e">
        <f t="shared" si="12"/>
        <v>#VALUE!</v>
      </c>
      <c r="I397" t="str">
        <f t="shared" si="13"/>
        <v>-</v>
      </c>
    </row>
    <row r="398" spans="1:9" x14ac:dyDescent="0.2">
      <c r="A398">
        <v>145495</v>
      </c>
      <c r="B398" t="s">
        <v>24</v>
      </c>
      <c r="C398" t="s">
        <v>8</v>
      </c>
      <c r="D398" t="s">
        <v>25</v>
      </c>
      <c r="E398">
        <v>3</v>
      </c>
      <c r="F398">
        <v>3</v>
      </c>
      <c r="G398" t="s">
        <v>26</v>
      </c>
      <c r="H398" t="e">
        <f t="shared" si="12"/>
        <v>#VALUE!</v>
      </c>
      <c r="I398" t="str">
        <f t="shared" si="13"/>
        <v>-</v>
      </c>
    </row>
    <row r="399" spans="1:9" x14ac:dyDescent="0.2">
      <c r="A399">
        <v>145707</v>
      </c>
      <c r="B399" t="s">
        <v>27</v>
      </c>
      <c r="C399" t="s">
        <v>8</v>
      </c>
      <c r="D399" t="s">
        <v>28</v>
      </c>
      <c r="E399">
        <v>600</v>
      </c>
      <c r="F399">
        <v>14.09</v>
      </c>
      <c r="G399" t="s">
        <v>29</v>
      </c>
      <c r="H399" t="e">
        <f t="shared" si="12"/>
        <v>#VALUE!</v>
      </c>
      <c r="I399" t="str">
        <f t="shared" si="13"/>
        <v>-</v>
      </c>
    </row>
    <row r="400" spans="1:9" x14ac:dyDescent="0.2">
      <c r="A400">
        <v>145919</v>
      </c>
      <c r="B400" t="s">
        <v>30</v>
      </c>
      <c r="C400" t="s">
        <v>8</v>
      </c>
      <c r="D400" t="s">
        <v>31</v>
      </c>
      <c r="E400">
        <v>2883</v>
      </c>
      <c r="F400">
        <v>2883</v>
      </c>
      <c r="G400" t="s">
        <v>15</v>
      </c>
      <c r="H400" t="str">
        <f t="shared" si="12"/>
        <v>PSI</v>
      </c>
      <c r="I400">
        <f t="shared" si="13"/>
        <v>41.814379787619316</v>
      </c>
    </row>
    <row r="401" spans="1:9" x14ac:dyDescent="0.2">
      <c r="A401">
        <v>146131</v>
      </c>
      <c r="B401" t="s">
        <v>32</v>
      </c>
      <c r="C401" t="s">
        <v>8</v>
      </c>
      <c r="D401" t="s">
        <v>33</v>
      </c>
      <c r="E401">
        <v>8644</v>
      </c>
      <c r="F401">
        <v>2.11</v>
      </c>
      <c r="G401" t="s">
        <v>26</v>
      </c>
      <c r="H401" t="e">
        <f t="shared" si="12"/>
        <v>#VALUE!</v>
      </c>
      <c r="I401" t="str">
        <f t="shared" si="13"/>
        <v>-</v>
      </c>
    </row>
    <row r="402" spans="1:9" x14ac:dyDescent="0.2">
      <c r="A402">
        <v>146343</v>
      </c>
      <c r="B402" t="s">
        <v>34</v>
      </c>
      <c r="C402" t="s">
        <v>8</v>
      </c>
      <c r="D402" t="s">
        <v>35</v>
      </c>
      <c r="E402">
        <v>8766</v>
      </c>
      <c r="F402">
        <v>2.14</v>
      </c>
      <c r="G402" t="s">
        <v>26</v>
      </c>
      <c r="H402" t="e">
        <f t="shared" si="12"/>
        <v>#VALUE!</v>
      </c>
      <c r="I402" t="str">
        <f t="shared" si="13"/>
        <v>-</v>
      </c>
    </row>
    <row r="403" spans="1:9" x14ac:dyDescent="0.2">
      <c r="A403">
        <v>146726</v>
      </c>
      <c r="B403" t="s">
        <v>36</v>
      </c>
      <c r="C403" t="s">
        <v>8</v>
      </c>
      <c r="D403" t="s">
        <v>37</v>
      </c>
      <c r="E403" t="s">
        <v>18</v>
      </c>
      <c r="F403" t="s">
        <v>18</v>
      </c>
      <c r="G403" t="s">
        <v>18</v>
      </c>
      <c r="H403" t="e">
        <f t="shared" si="12"/>
        <v>#VALUE!</v>
      </c>
      <c r="I403" t="str">
        <f t="shared" si="13"/>
        <v>-</v>
      </c>
    </row>
    <row r="404" spans="1:9" x14ac:dyDescent="0.2">
      <c r="A404">
        <v>147108</v>
      </c>
      <c r="B404" t="s">
        <v>38</v>
      </c>
      <c r="C404" t="s">
        <v>8</v>
      </c>
      <c r="D404" t="s">
        <v>39</v>
      </c>
      <c r="E404" t="s">
        <v>18</v>
      </c>
      <c r="F404" t="s">
        <v>18</v>
      </c>
      <c r="G404" t="s">
        <v>18</v>
      </c>
      <c r="H404" t="e">
        <f t="shared" si="12"/>
        <v>#VALUE!</v>
      </c>
      <c r="I404" t="str">
        <f t="shared" si="13"/>
        <v>-</v>
      </c>
    </row>
    <row r="405" spans="1:9" x14ac:dyDescent="0.2">
      <c r="A405">
        <v>147490</v>
      </c>
      <c r="B405" t="s">
        <v>40</v>
      </c>
      <c r="C405" t="s">
        <v>8</v>
      </c>
      <c r="D405" t="s">
        <v>41</v>
      </c>
      <c r="E405" t="s">
        <v>18</v>
      </c>
      <c r="F405" t="s">
        <v>18</v>
      </c>
      <c r="G405" t="s">
        <v>18</v>
      </c>
      <c r="H405" t="e">
        <f t="shared" si="12"/>
        <v>#VALUE!</v>
      </c>
      <c r="I405" t="str">
        <f t="shared" si="13"/>
        <v>-</v>
      </c>
    </row>
    <row r="406" spans="1:9" x14ac:dyDescent="0.2">
      <c r="A406">
        <v>147712</v>
      </c>
      <c r="B406" t="s">
        <v>42</v>
      </c>
      <c r="C406" t="s">
        <v>8</v>
      </c>
      <c r="D406" t="s">
        <v>43</v>
      </c>
      <c r="E406">
        <v>11004</v>
      </c>
      <c r="F406">
        <v>5.5</v>
      </c>
      <c r="G406" t="s">
        <v>44</v>
      </c>
      <c r="H406" t="str">
        <f t="shared" si="12"/>
        <v>PSI</v>
      </c>
      <c r="I406">
        <f t="shared" si="13"/>
        <v>797.70755751615059</v>
      </c>
    </row>
    <row r="407" spans="1:9" x14ac:dyDescent="0.2">
      <c r="A407">
        <v>147904</v>
      </c>
      <c r="B407" t="s">
        <v>45</v>
      </c>
      <c r="C407" t="s">
        <v>8</v>
      </c>
      <c r="D407" t="s">
        <v>46</v>
      </c>
      <c r="E407">
        <v>1</v>
      </c>
      <c r="F407">
        <v>1</v>
      </c>
      <c r="G407" t="s">
        <v>15</v>
      </c>
      <c r="H407" t="str">
        <f t="shared" si="12"/>
        <v>PSI</v>
      </c>
      <c r="I407">
        <f t="shared" si="13"/>
        <v>1.4503773773020921E-2</v>
      </c>
    </row>
    <row r="408" spans="1:9" x14ac:dyDescent="0.2">
      <c r="A408">
        <v>148116</v>
      </c>
      <c r="B408" t="s">
        <v>47</v>
      </c>
      <c r="C408" t="s">
        <v>8</v>
      </c>
      <c r="D408" t="s">
        <v>48</v>
      </c>
      <c r="E408">
        <v>1140</v>
      </c>
      <c r="F408">
        <v>114</v>
      </c>
      <c r="G408" t="s">
        <v>49</v>
      </c>
      <c r="H408" t="e">
        <f t="shared" si="12"/>
        <v>#VALUE!</v>
      </c>
      <c r="I408" t="str">
        <f t="shared" si="13"/>
        <v>-</v>
      </c>
    </row>
    <row r="409" spans="1:9" x14ac:dyDescent="0.2">
      <c r="A409">
        <v>148328</v>
      </c>
      <c r="B409" t="s">
        <v>50</v>
      </c>
      <c r="C409" t="s">
        <v>8</v>
      </c>
      <c r="D409" t="s">
        <v>51</v>
      </c>
      <c r="E409">
        <v>24436</v>
      </c>
      <c r="F409">
        <v>954.53</v>
      </c>
      <c r="G409" t="s">
        <v>15</v>
      </c>
      <c r="H409" t="str">
        <f t="shared" si="12"/>
        <v>PSI</v>
      </c>
      <c r="I409">
        <f t="shared" si="13"/>
        <v>13.844287179561659</v>
      </c>
    </row>
    <row r="410" spans="1:9" x14ac:dyDescent="0.2">
      <c r="A410">
        <v>148540</v>
      </c>
      <c r="B410" t="s">
        <v>52</v>
      </c>
      <c r="C410" t="s">
        <v>8</v>
      </c>
      <c r="D410" t="s">
        <v>53</v>
      </c>
      <c r="E410">
        <v>101</v>
      </c>
      <c r="F410">
        <v>27.75</v>
      </c>
      <c r="G410" t="s">
        <v>10</v>
      </c>
      <c r="H410" t="e">
        <f t="shared" si="12"/>
        <v>#VALUE!</v>
      </c>
      <c r="I410" t="str">
        <f t="shared" si="13"/>
        <v>-</v>
      </c>
    </row>
    <row r="411" spans="1:9" x14ac:dyDescent="0.2">
      <c r="A411">
        <v>148742</v>
      </c>
      <c r="B411" t="s">
        <v>54</v>
      </c>
      <c r="C411" t="s">
        <v>8</v>
      </c>
      <c r="D411" t="s">
        <v>55</v>
      </c>
      <c r="E411">
        <v>10</v>
      </c>
      <c r="F411">
        <v>40</v>
      </c>
      <c r="G411" t="s">
        <v>56</v>
      </c>
      <c r="H411" t="e">
        <f t="shared" si="12"/>
        <v>#VALUE!</v>
      </c>
      <c r="I411" t="str">
        <f t="shared" si="13"/>
        <v>-</v>
      </c>
    </row>
    <row r="412" spans="1:9" x14ac:dyDescent="0.2">
      <c r="A412">
        <v>149124</v>
      </c>
      <c r="B412" t="s">
        <v>57</v>
      </c>
      <c r="C412" t="s">
        <v>8</v>
      </c>
      <c r="D412" t="s">
        <v>58</v>
      </c>
      <c r="E412" t="s">
        <v>18</v>
      </c>
      <c r="F412" t="s">
        <v>18</v>
      </c>
      <c r="G412" t="s">
        <v>18</v>
      </c>
      <c r="H412" t="e">
        <f t="shared" si="12"/>
        <v>#VALUE!</v>
      </c>
      <c r="I412" t="str">
        <f t="shared" si="13"/>
        <v>-</v>
      </c>
    </row>
    <row r="413" spans="1:9" x14ac:dyDescent="0.2">
      <c r="A413">
        <v>149506</v>
      </c>
      <c r="B413" t="s">
        <v>59</v>
      </c>
      <c r="C413" t="s">
        <v>8</v>
      </c>
      <c r="D413" t="s">
        <v>60</v>
      </c>
      <c r="E413" t="s">
        <v>18</v>
      </c>
      <c r="F413" t="s">
        <v>18</v>
      </c>
      <c r="G413" t="s">
        <v>18</v>
      </c>
      <c r="H413" t="e">
        <f t="shared" si="12"/>
        <v>#VALUE!</v>
      </c>
      <c r="I413" t="str">
        <f t="shared" si="13"/>
        <v>-</v>
      </c>
    </row>
    <row r="414" spans="1:9" x14ac:dyDescent="0.2">
      <c r="A414">
        <v>149888</v>
      </c>
      <c r="B414" t="s">
        <v>61</v>
      </c>
      <c r="C414" t="s">
        <v>8</v>
      </c>
      <c r="D414" t="s">
        <v>62</v>
      </c>
      <c r="E414" t="s">
        <v>18</v>
      </c>
      <c r="F414" t="s">
        <v>18</v>
      </c>
      <c r="G414" t="s">
        <v>18</v>
      </c>
      <c r="H414" t="e">
        <f t="shared" si="12"/>
        <v>#VALUE!</v>
      </c>
      <c r="I414" t="str">
        <f t="shared" si="13"/>
        <v>-</v>
      </c>
    </row>
    <row r="415" spans="1:9" x14ac:dyDescent="0.2">
      <c r="A415">
        <v>150260</v>
      </c>
      <c r="B415" t="s">
        <v>63</v>
      </c>
      <c r="C415" t="s">
        <v>8</v>
      </c>
      <c r="D415" t="s">
        <v>64</v>
      </c>
      <c r="E415" t="s">
        <v>18</v>
      </c>
      <c r="F415" t="s">
        <v>18</v>
      </c>
      <c r="G415" t="s">
        <v>18</v>
      </c>
      <c r="H415" t="e">
        <f t="shared" si="12"/>
        <v>#VALUE!</v>
      </c>
      <c r="I415" t="str">
        <f t="shared" si="13"/>
        <v>-</v>
      </c>
    </row>
    <row r="416" spans="1:9" x14ac:dyDescent="0.2">
      <c r="A416">
        <v>150512</v>
      </c>
      <c r="B416" t="s">
        <v>65</v>
      </c>
      <c r="C416" t="s">
        <v>8</v>
      </c>
      <c r="D416" t="s">
        <v>66</v>
      </c>
      <c r="E416">
        <v>26999</v>
      </c>
      <c r="F416">
        <v>3.3</v>
      </c>
      <c r="G416" t="s">
        <v>67</v>
      </c>
      <c r="H416" t="e">
        <f t="shared" si="12"/>
        <v>#VALUE!</v>
      </c>
      <c r="I416" t="str">
        <f t="shared" si="13"/>
        <v>-</v>
      </c>
    </row>
    <row r="417" spans="1:9" x14ac:dyDescent="0.2">
      <c r="A417">
        <v>150894</v>
      </c>
      <c r="B417" t="s">
        <v>68</v>
      </c>
      <c r="C417" t="s">
        <v>8</v>
      </c>
      <c r="D417" t="s">
        <v>69</v>
      </c>
      <c r="E417" t="s">
        <v>18</v>
      </c>
      <c r="F417" t="s">
        <v>18</v>
      </c>
      <c r="G417" t="s">
        <v>18</v>
      </c>
      <c r="H417" t="e">
        <f t="shared" si="12"/>
        <v>#VALUE!</v>
      </c>
      <c r="I417" t="str">
        <f t="shared" si="13"/>
        <v>-</v>
      </c>
    </row>
    <row r="418" spans="1:9" x14ac:dyDescent="0.2">
      <c r="A418">
        <v>151096</v>
      </c>
      <c r="B418" t="s">
        <v>7</v>
      </c>
      <c r="C418" t="s">
        <v>8</v>
      </c>
      <c r="D418" t="s">
        <v>9</v>
      </c>
      <c r="E418">
        <v>162</v>
      </c>
      <c r="F418">
        <v>102</v>
      </c>
      <c r="G418" t="s">
        <v>10</v>
      </c>
      <c r="H418" t="e">
        <f t="shared" si="12"/>
        <v>#VALUE!</v>
      </c>
      <c r="I418" t="str">
        <f t="shared" si="13"/>
        <v>-</v>
      </c>
    </row>
    <row r="419" spans="1:9" x14ac:dyDescent="0.2">
      <c r="A419">
        <v>151288</v>
      </c>
      <c r="B419" t="s">
        <v>11</v>
      </c>
      <c r="C419" t="s">
        <v>8</v>
      </c>
      <c r="D419" t="s">
        <v>12</v>
      </c>
      <c r="E419">
        <v>203</v>
      </c>
      <c r="F419">
        <v>104.25</v>
      </c>
      <c r="G419" t="s">
        <v>10</v>
      </c>
      <c r="H419" t="e">
        <f t="shared" si="12"/>
        <v>#VALUE!</v>
      </c>
      <c r="I419" t="str">
        <f t="shared" si="13"/>
        <v>-</v>
      </c>
    </row>
    <row r="420" spans="1:9" x14ac:dyDescent="0.2">
      <c r="A420">
        <v>151500</v>
      </c>
      <c r="B420" t="s">
        <v>13</v>
      </c>
      <c r="C420" t="s">
        <v>8</v>
      </c>
      <c r="D420" t="s">
        <v>14</v>
      </c>
      <c r="E420">
        <v>25902</v>
      </c>
      <c r="F420">
        <v>1011.8</v>
      </c>
      <c r="G420" t="s">
        <v>15</v>
      </c>
      <c r="H420" t="str">
        <f t="shared" si="12"/>
        <v>PSI</v>
      </c>
      <c r="I420">
        <f t="shared" si="13"/>
        <v>14.674918303542567</v>
      </c>
    </row>
    <row r="421" spans="1:9" x14ac:dyDescent="0.2">
      <c r="A421">
        <v>151882</v>
      </c>
      <c r="B421" t="s">
        <v>16</v>
      </c>
      <c r="C421" t="s">
        <v>8</v>
      </c>
      <c r="D421" t="s">
        <v>17</v>
      </c>
      <c r="E421" t="s">
        <v>18</v>
      </c>
      <c r="F421" t="s">
        <v>18</v>
      </c>
      <c r="G421" t="s">
        <v>18</v>
      </c>
      <c r="H421" t="e">
        <f t="shared" si="12"/>
        <v>#VALUE!</v>
      </c>
      <c r="I421" t="str">
        <f t="shared" si="13"/>
        <v>-</v>
      </c>
    </row>
    <row r="422" spans="1:9" x14ac:dyDescent="0.2">
      <c r="A422">
        <v>152104</v>
      </c>
      <c r="B422" t="s">
        <v>19</v>
      </c>
      <c r="C422" t="s">
        <v>8</v>
      </c>
      <c r="D422" t="s">
        <v>20</v>
      </c>
      <c r="E422">
        <v>13428</v>
      </c>
      <c r="F422">
        <v>1049.06</v>
      </c>
      <c r="G422" t="s">
        <v>15</v>
      </c>
      <c r="H422" t="str">
        <f t="shared" si="12"/>
        <v>PSI</v>
      </c>
      <c r="I422">
        <f t="shared" si="13"/>
        <v>15.215328914325328</v>
      </c>
    </row>
    <row r="423" spans="1:9" x14ac:dyDescent="0.2">
      <c r="A423">
        <v>152316</v>
      </c>
      <c r="B423" t="s">
        <v>21</v>
      </c>
      <c r="C423" t="s">
        <v>8</v>
      </c>
      <c r="D423" t="s">
        <v>22</v>
      </c>
      <c r="E423">
        <v>7655</v>
      </c>
      <c r="F423">
        <v>1913.75</v>
      </c>
      <c r="G423" t="s">
        <v>23</v>
      </c>
      <c r="H423" t="e">
        <f t="shared" si="12"/>
        <v>#VALUE!</v>
      </c>
      <c r="I423" t="str">
        <f t="shared" si="13"/>
        <v>-</v>
      </c>
    </row>
    <row r="424" spans="1:9" x14ac:dyDescent="0.2">
      <c r="A424">
        <v>152508</v>
      </c>
      <c r="B424" t="s">
        <v>24</v>
      </c>
      <c r="C424" t="s">
        <v>8</v>
      </c>
      <c r="D424" t="s">
        <v>25</v>
      </c>
      <c r="E424">
        <v>3</v>
      </c>
      <c r="F424">
        <v>3</v>
      </c>
      <c r="G424" t="s">
        <v>26</v>
      </c>
      <c r="H424" t="e">
        <f t="shared" si="12"/>
        <v>#VALUE!</v>
      </c>
      <c r="I424" t="str">
        <f t="shared" si="13"/>
        <v>-</v>
      </c>
    </row>
    <row r="425" spans="1:9" x14ac:dyDescent="0.2">
      <c r="A425">
        <v>152710</v>
      </c>
      <c r="B425" t="s">
        <v>27</v>
      </c>
      <c r="C425" t="s">
        <v>8</v>
      </c>
      <c r="D425" t="s">
        <v>28</v>
      </c>
      <c r="E425">
        <v>603</v>
      </c>
      <c r="F425">
        <v>14.16</v>
      </c>
      <c r="G425" t="s">
        <v>29</v>
      </c>
      <c r="H425" t="e">
        <f t="shared" si="12"/>
        <v>#VALUE!</v>
      </c>
      <c r="I425" t="str">
        <f t="shared" si="13"/>
        <v>-</v>
      </c>
    </row>
    <row r="426" spans="1:9" x14ac:dyDescent="0.2">
      <c r="A426">
        <v>152912</v>
      </c>
      <c r="B426" t="s">
        <v>30</v>
      </c>
      <c r="C426" t="s">
        <v>8</v>
      </c>
      <c r="D426" t="s">
        <v>31</v>
      </c>
      <c r="E426">
        <v>3034</v>
      </c>
      <c r="F426">
        <v>3034</v>
      </c>
      <c r="G426" t="s">
        <v>15</v>
      </c>
      <c r="H426" t="str">
        <f t="shared" si="12"/>
        <v>PSI</v>
      </c>
      <c r="I426">
        <f t="shared" si="13"/>
        <v>44.004449627345473</v>
      </c>
    </row>
    <row r="427" spans="1:9" x14ac:dyDescent="0.2">
      <c r="A427">
        <v>153125</v>
      </c>
      <c r="B427" t="s">
        <v>32</v>
      </c>
      <c r="C427" t="s">
        <v>8</v>
      </c>
      <c r="D427" t="s">
        <v>33</v>
      </c>
      <c r="E427">
        <v>13585</v>
      </c>
      <c r="F427">
        <v>3.32</v>
      </c>
      <c r="G427" t="s">
        <v>26</v>
      </c>
      <c r="H427" t="e">
        <f t="shared" si="12"/>
        <v>#VALUE!</v>
      </c>
      <c r="I427" t="str">
        <f t="shared" si="13"/>
        <v>-</v>
      </c>
    </row>
    <row r="428" spans="1:9" x14ac:dyDescent="0.2">
      <c r="A428">
        <v>153337</v>
      </c>
      <c r="B428" t="s">
        <v>34</v>
      </c>
      <c r="C428" t="s">
        <v>8</v>
      </c>
      <c r="D428" t="s">
        <v>35</v>
      </c>
      <c r="E428">
        <v>31157</v>
      </c>
      <c r="F428">
        <v>7.61</v>
      </c>
      <c r="G428" t="s">
        <v>26</v>
      </c>
      <c r="H428" t="e">
        <f t="shared" si="12"/>
        <v>#VALUE!</v>
      </c>
      <c r="I428" t="str">
        <f t="shared" si="13"/>
        <v>-</v>
      </c>
    </row>
    <row r="429" spans="1:9" x14ac:dyDescent="0.2">
      <c r="A429">
        <v>153719</v>
      </c>
      <c r="B429" t="s">
        <v>36</v>
      </c>
      <c r="C429" t="s">
        <v>8</v>
      </c>
      <c r="D429" t="s">
        <v>37</v>
      </c>
      <c r="E429" t="s">
        <v>18</v>
      </c>
      <c r="F429" t="s">
        <v>18</v>
      </c>
      <c r="G429" t="s">
        <v>18</v>
      </c>
      <c r="H429" t="e">
        <f t="shared" si="12"/>
        <v>#VALUE!</v>
      </c>
      <c r="I429" t="str">
        <f t="shared" si="13"/>
        <v>-</v>
      </c>
    </row>
    <row r="430" spans="1:9" x14ac:dyDescent="0.2">
      <c r="A430">
        <v>154091</v>
      </c>
      <c r="B430" t="s">
        <v>38</v>
      </c>
      <c r="C430" t="s">
        <v>8</v>
      </c>
      <c r="D430" t="s">
        <v>39</v>
      </c>
      <c r="E430" t="s">
        <v>18</v>
      </c>
      <c r="F430" t="s">
        <v>18</v>
      </c>
      <c r="G430" t="s">
        <v>18</v>
      </c>
      <c r="H430" t="e">
        <f t="shared" si="12"/>
        <v>#VALUE!</v>
      </c>
      <c r="I430" t="str">
        <f t="shared" si="13"/>
        <v>-</v>
      </c>
    </row>
    <row r="431" spans="1:9" x14ac:dyDescent="0.2">
      <c r="A431">
        <v>154473</v>
      </c>
      <c r="B431" t="s">
        <v>40</v>
      </c>
      <c r="C431" t="s">
        <v>8</v>
      </c>
      <c r="D431" t="s">
        <v>41</v>
      </c>
      <c r="E431" t="s">
        <v>18</v>
      </c>
      <c r="F431" t="s">
        <v>18</v>
      </c>
      <c r="G431" t="s">
        <v>18</v>
      </c>
      <c r="H431" t="e">
        <f t="shared" si="12"/>
        <v>#VALUE!</v>
      </c>
      <c r="I431" t="str">
        <f t="shared" si="13"/>
        <v>-</v>
      </c>
    </row>
    <row r="432" spans="1:9" x14ac:dyDescent="0.2">
      <c r="A432">
        <v>154685</v>
      </c>
      <c r="B432" t="s">
        <v>42</v>
      </c>
      <c r="C432" t="s">
        <v>8</v>
      </c>
      <c r="D432" t="s">
        <v>43</v>
      </c>
      <c r="E432">
        <v>9410</v>
      </c>
      <c r="F432">
        <v>4.7</v>
      </c>
      <c r="G432" t="s">
        <v>44</v>
      </c>
      <c r="H432" t="str">
        <f t="shared" si="12"/>
        <v>PSI</v>
      </c>
      <c r="I432">
        <f t="shared" si="13"/>
        <v>681.67736733198331</v>
      </c>
    </row>
    <row r="433" spans="1:9" x14ac:dyDescent="0.2">
      <c r="A433">
        <v>154877</v>
      </c>
      <c r="B433" t="s">
        <v>45</v>
      </c>
      <c r="C433" t="s">
        <v>8</v>
      </c>
      <c r="D433" t="s">
        <v>46</v>
      </c>
      <c r="E433">
        <v>8</v>
      </c>
      <c r="F433">
        <v>8</v>
      </c>
      <c r="G433" t="s">
        <v>15</v>
      </c>
      <c r="H433" t="str">
        <f t="shared" si="12"/>
        <v>PSI</v>
      </c>
      <c r="I433">
        <f t="shared" si="13"/>
        <v>0.11603019018416737</v>
      </c>
    </row>
    <row r="434" spans="1:9" x14ac:dyDescent="0.2">
      <c r="A434">
        <v>155089</v>
      </c>
      <c r="B434" t="s">
        <v>47</v>
      </c>
      <c r="C434" t="s">
        <v>8</v>
      </c>
      <c r="D434" t="s">
        <v>48</v>
      </c>
      <c r="E434">
        <v>1210</v>
      </c>
      <c r="F434">
        <v>121</v>
      </c>
      <c r="G434" t="s">
        <v>49</v>
      </c>
      <c r="H434" t="e">
        <f t="shared" si="12"/>
        <v>#VALUE!</v>
      </c>
      <c r="I434" t="str">
        <f t="shared" si="13"/>
        <v>-</v>
      </c>
    </row>
    <row r="435" spans="1:9" x14ac:dyDescent="0.2">
      <c r="A435">
        <v>155301</v>
      </c>
      <c r="B435" t="s">
        <v>50</v>
      </c>
      <c r="C435" t="s">
        <v>8</v>
      </c>
      <c r="D435" t="s">
        <v>51</v>
      </c>
      <c r="E435">
        <v>24506</v>
      </c>
      <c r="F435">
        <v>957.27</v>
      </c>
      <c r="G435" t="s">
        <v>15</v>
      </c>
      <c r="H435" t="str">
        <f t="shared" si="12"/>
        <v>PSI</v>
      </c>
      <c r="I435">
        <f t="shared" si="13"/>
        <v>13.884027519699737</v>
      </c>
    </row>
    <row r="436" spans="1:9" x14ac:dyDescent="0.2">
      <c r="A436">
        <v>155503</v>
      </c>
      <c r="B436" t="s">
        <v>52</v>
      </c>
      <c r="C436" t="s">
        <v>8</v>
      </c>
      <c r="D436" t="s">
        <v>53</v>
      </c>
      <c r="E436">
        <v>100</v>
      </c>
      <c r="F436">
        <v>27</v>
      </c>
      <c r="G436" t="s">
        <v>10</v>
      </c>
      <c r="H436" t="e">
        <f t="shared" si="12"/>
        <v>#VALUE!</v>
      </c>
      <c r="I436" t="str">
        <f t="shared" si="13"/>
        <v>-</v>
      </c>
    </row>
    <row r="437" spans="1:9" x14ac:dyDescent="0.2">
      <c r="A437">
        <v>155695</v>
      </c>
      <c r="B437" t="s">
        <v>54</v>
      </c>
      <c r="C437" t="s">
        <v>8</v>
      </c>
      <c r="D437" t="s">
        <v>55</v>
      </c>
      <c r="E437">
        <v>3</v>
      </c>
      <c r="F437">
        <v>12</v>
      </c>
      <c r="G437" t="s">
        <v>56</v>
      </c>
      <c r="H437" t="e">
        <f t="shared" si="12"/>
        <v>#VALUE!</v>
      </c>
      <c r="I437" t="str">
        <f t="shared" si="13"/>
        <v>-</v>
      </c>
    </row>
    <row r="438" spans="1:9" x14ac:dyDescent="0.2">
      <c r="A438">
        <v>156077</v>
      </c>
      <c r="B438" t="s">
        <v>57</v>
      </c>
      <c r="C438" t="s">
        <v>8</v>
      </c>
      <c r="D438" t="s">
        <v>58</v>
      </c>
      <c r="E438" t="s">
        <v>18</v>
      </c>
      <c r="F438" t="s">
        <v>18</v>
      </c>
      <c r="G438" t="s">
        <v>18</v>
      </c>
      <c r="H438" t="e">
        <f t="shared" si="12"/>
        <v>#VALUE!</v>
      </c>
      <c r="I438" t="str">
        <f t="shared" si="13"/>
        <v>-</v>
      </c>
    </row>
    <row r="439" spans="1:9" x14ac:dyDescent="0.2">
      <c r="A439">
        <v>156459</v>
      </c>
      <c r="B439" t="s">
        <v>59</v>
      </c>
      <c r="C439" t="s">
        <v>8</v>
      </c>
      <c r="D439" t="s">
        <v>60</v>
      </c>
      <c r="E439" t="s">
        <v>18</v>
      </c>
      <c r="F439" t="s">
        <v>18</v>
      </c>
      <c r="G439" t="s">
        <v>18</v>
      </c>
      <c r="H439" t="e">
        <f t="shared" si="12"/>
        <v>#VALUE!</v>
      </c>
      <c r="I439" t="str">
        <f t="shared" si="13"/>
        <v>-</v>
      </c>
    </row>
    <row r="440" spans="1:9" x14ac:dyDescent="0.2">
      <c r="A440">
        <v>156841</v>
      </c>
      <c r="B440" t="s">
        <v>61</v>
      </c>
      <c r="C440" t="s">
        <v>8</v>
      </c>
      <c r="D440" t="s">
        <v>62</v>
      </c>
      <c r="E440" t="s">
        <v>18</v>
      </c>
      <c r="F440" t="s">
        <v>18</v>
      </c>
      <c r="G440" t="s">
        <v>18</v>
      </c>
      <c r="H440" t="e">
        <f t="shared" si="12"/>
        <v>#VALUE!</v>
      </c>
      <c r="I440" t="str">
        <f t="shared" si="13"/>
        <v>-</v>
      </c>
    </row>
    <row r="441" spans="1:9" x14ac:dyDescent="0.2">
      <c r="A441">
        <v>157223</v>
      </c>
      <c r="B441" t="s">
        <v>63</v>
      </c>
      <c r="C441" t="s">
        <v>8</v>
      </c>
      <c r="D441" t="s">
        <v>64</v>
      </c>
      <c r="E441" t="s">
        <v>18</v>
      </c>
      <c r="F441" t="s">
        <v>18</v>
      </c>
      <c r="G441" t="s">
        <v>18</v>
      </c>
      <c r="H441" t="e">
        <f t="shared" si="12"/>
        <v>#VALUE!</v>
      </c>
      <c r="I441" t="str">
        <f t="shared" si="13"/>
        <v>-</v>
      </c>
    </row>
    <row r="442" spans="1:9" x14ac:dyDescent="0.2">
      <c r="A442">
        <v>157475</v>
      </c>
      <c r="B442" t="s">
        <v>65</v>
      </c>
      <c r="C442" t="s">
        <v>8</v>
      </c>
      <c r="D442" t="s">
        <v>66</v>
      </c>
      <c r="E442">
        <v>27025</v>
      </c>
      <c r="F442">
        <v>3.3</v>
      </c>
      <c r="G442" t="s">
        <v>67</v>
      </c>
      <c r="H442" t="e">
        <f t="shared" si="12"/>
        <v>#VALUE!</v>
      </c>
      <c r="I442" t="str">
        <f t="shared" si="13"/>
        <v>-</v>
      </c>
    </row>
    <row r="443" spans="1:9" x14ac:dyDescent="0.2">
      <c r="A443">
        <v>157847</v>
      </c>
      <c r="B443" t="s">
        <v>68</v>
      </c>
      <c r="C443" t="s">
        <v>8</v>
      </c>
      <c r="D443" t="s">
        <v>69</v>
      </c>
      <c r="E443" t="s">
        <v>18</v>
      </c>
      <c r="F443" t="s">
        <v>18</v>
      </c>
      <c r="G443" t="s">
        <v>18</v>
      </c>
      <c r="H443" t="e">
        <f t="shared" si="12"/>
        <v>#VALUE!</v>
      </c>
      <c r="I443" t="str">
        <f t="shared" si="13"/>
        <v>-</v>
      </c>
    </row>
    <row r="444" spans="1:9" x14ac:dyDescent="0.2">
      <c r="A444">
        <v>158049</v>
      </c>
      <c r="B444" t="s">
        <v>7</v>
      </c>
      <c r="C444" t="s">
        <v>8</v>
      </c>
      <c r="D444" t="s">
        <v>9</v>
      </c>
      <c r="E444">
        <v>162</v>
      </c>
      <c r="F444">
        <v>102</v>
      </c>
      <c r="G444" t="s">
        <v>10</v>
      </c>
      <c r="H444" t="e">
        <f t="shared" si="12"/>
        <v>#VALUE!</v>
      </c>
      <c r="I444" t="str">
        <f t="shared" si="13"/>
        <v>-</v>
      </c>
    </row>
    <row r="445" spans="1:9" x14ac:dyDescent="0.2">
      <c r="A445">
        <v>158231</v>
      </c>
      <c r="B445" t="s">
        <v>11</v>
      </c>
      <c r="C445" t="s">
        <v>8</v>
      </c>
      <c r="D445" t="s">
        <v>12</v>
      </c>
      <c r="E445">
        <v>202</v>
      </c>
      <c r="F445">
        <v>103.5</v>
      </c>
      <c r="G445" t="s">
        <v>10</v>
      </c>
      <c r="H445" t="e">
        <f t="shared" si="12"/>
        <v>#VALUE!</v>
      </c>
      <c r="I445" t="str">
        <f t="shared" si="13"/>
        <v>-</v>
      </c>
    </row>
    <row r="446" spans="1:9" x14ac:dyDescent="0.2">
      <c r="A446">
        <v>158453</v>
      </c>
      <c r="B446" t="s">
        <v>13</v>
      </c>
      <c r="C446" t="s">
        <v>8</v>
      </c>
      <c r="D446" t="s">
        <v>14</v>
      </c>
      <c r="E446">
        <v>25902</v>
      </c>
      <c r="F446">
        <v>1011.8</v>
      </c>
      <c r="G446" t="s">
        <v>15</v>
      </c>
      <c r="H446" t="str">
        <f t="shared" si="12"/>
        <v>PSI</v>
      </c>
      <c r="I446">
        <f t="shared" si="13"/>
        <v>14.674918303542567</v>
      </c>
    </row>
    <row r="447" spans="1:9" x14ac:dyDescent="0.2">
      <c r="A447">
        <v>158835</v>
      </c>
      <c r="B447" t="s">
        <v>16</v>
      </c>
      <c r="C447" t="s">
        <v>8</v>
      </c>
      <c r="D447" t="s">
        <v>17</v>
      </c>
      <c r="E447" t="s">
        <v>18</v>
      </c>
      <c r="F447" t="s">
        <v>18</v>
      </c>
      <c r="G447" t="s">
        <v>18</v>
      </c>
      <c r="H447" t="e">
        <f t="shared" si="12"/>
        <v>#VALUE!</v>
      </c>
      <c r="I447" t="str">
        <f t="shared" si="13"/>
        <v>-</v>
      </c>
    </row>
    <row r="448" spans="1:9" x14ac:dyDescent="0.2">
      <c r="A448">
        <v>159047</v>
      </c>
      <c r="B448" t="s">
        <v>19</v>
      </c>
      <c r="C448" t="s">
        <v>8</v>
      </c>
      <c r="D448" t="s">
        <v>20</v>
      </c>
      <c r="E448">
        <v>13538</v>
      </c>
      <c r="F448">
        <v>1057.6600000000001</v>
      </c>
      <c r="G448" t="s">
        <v>15</v>
      </c>
      <c r="H448" t="str">
        <f t="shared" si="12"/>
        <v>PSI</v>
      </c>
      <c r="I448">
        <f t="shared" si="13"/>
        <v>15.340061368773309</v>
      </c>
    </row>
    <row r="449" spans="1:9" x14ac:dyDescent="0.2">
      <c r="A449">
        <v>159259</v>
      </c>
      <c r="B449" t="s">
        <v>21</v>
      </c>
      <c r="C449" t="s">
        <v>8</v>
      </c>
      <c r="D449" t="s">
        <v>22</v>
      </c>
      <c r="E449">
        <v>6507</v>
      </c>
      <c r="F449">
        <v>1626.75</v>
      </c>
      <c r="G449" t="s">
        <v>23</v>
      </c>
      <c r="H449" t="e">
        <f t="shared" si="12"/>
        <v>#VALUE!</v>
      </c>
      <c r="I449" t="str">
        <f t="shared" si="13"/>
        <v>-</v>
      </c>
    </row>
    <row r="450" spans="1:9" x14ac:dyDescent="0.2">
      <c r="A450">
        <v>159451</v>
      </c>
      <c r="B450" t="s">
        <v>24</v>
      </c>
      <c r="C450" t="s">
        <v>8</v>
      </c>
      <c r="D450" t="s">
        <v>25</v>
      </c>
      <c r="E450">
        <v>3</v>
      </c>
      <c r="F450">
        <v>3</v>
      </c>
      <c r="G450" t="s">
        <v>26</v>
      </c>
      <c r="H450" t="e">
        <f t="shared" si="12"/>
        <v>#VALUE!</v>
      </c>
      <c r="I450" t="str">
        <f t="shared" si="13"/>
        <v>-</v>
      </c>
    </row>
    <row r="451" spans="1:9" x14ac:dyDescent="0.2">
      <c r="A451">
        <v>159663</v>
      </c>
      <c r="B451" t="s">
        <v>27</v>
      </c>
      <c r="C451" t="s">
        <v>8</v>
      </c>
      <c r="D451" t="s">
        <v>28</v>
      </c>
      <c r="E451">
        <v>603</v>
      </c>
      <c r="F451">
        <v>14.16</v>
      </c>
      <c r="G451" t="s">
        <v>29</v>
      </c>
      <c r="H451" t="e">
        <f t="shared" ref="H451:H514" si="14">IF(FIND("Pa",G451,1),"PSI","-")</f>
        <v>#VALUE!</v>
      </c>
      <c r="I451" t="str">
        <f t="shared" ref="I451:I514" si="15">IF(G451="hPa",CONVERT(F451*100,"Pa","psi"), IF(G451="MPa",CONVERT(F451*1000000,"Pa","psi"),"-"))</f>
        <v>-</v>
      </c>
    </row>
    <row r="452" spans="1:9" x14ac:dyDescent="0.2">
      <c r="A452">
        <v>159875</v>
      </c>
      <c r="B452" t="s">
        <v>30</v>
      </c>
      <c r="C452" t="s">
        <v>8</v>
      </c>
      <c r="D452" t="s">
        <v>31</v>
      </c>
      <c r="E452">
        <v>3163</v>
      </c>
      <c r="F452">
        <v>3163</v>
      </c>
      <c r="G452" t="s">
        <v>15</v>
      </c>
      <c r="H452" t="str">
        <f t="shared" si="14"/>
        <v>PSI</v>
      </c>
      <c r="I452">
        <f t="shared" si="15"/>
        <v>45.875436444065173</v>
      </c>
    </row>
    <row r="453" spans="1:9" x14ac:dyDescent="0.2">
      <c r="A453">
        <v>160087</v>
      </c>
      <c r="B453" t="s">
        <v>32</v>
      </c>
      <c r="C453" t="s">
        <v>8</v>
      </c>
      <c r="D453" t="s">
        <v>33</v>
      </c>
      <c r="E453">
        <v>4085</v>
      </c>
      <c r="F453">
        <v>1</v>
      </c>
      <c r="G453" t="s">
        <v>26</v>
      </c>
      <c r="H453" t="e">
        <f t="shared" si="14"/>
        <v>#VALUE!</v>
      </c>
      <c r="I453" t="str">
        <f t="shared" si="15"/>
        <v>-</v>
      </c>
    </row>
    <row r="454" spans="1:9" x14ac:dyDescent="0.2">
      <c r="A454">
        <v>160299</v>
      </c>
      <c r="B454" t="s">
        <v>34</v>
      </c>
      <c r="C454" t="s">
        <v>8</v>
      </c>
      <c r="D454" t="s">
        <v>35</v>
      </c>
      <c r="E454">
        <v>3955</v>
      </c>
      <c r="F454">
        <v>0.97</v>
      </c>
      <c r="G454" t="s">
        <v>26</v>
      </c>
      <c r="H454" t="e">
        <f t="shared" si="14"/>
        <v>#VALUE!</v>
      </c>
      <c r="I454" t="str">
        <f t="shared" si="15"/>
        <v>-</v>
      </c>
    </row>
    <row r="455" spans="1:9" x14ac:dyDescent="0.2">
      <c r="A455">
        <v>160681</v>
      </c>
      <c r="B455" t="s">
        <v>36</v>
      </c>
      <c r="C455" t="s">
        <v>8</v>
      </c>
      <c r="D455" t="s">
        <v>37</v>
      </c>
      <c r="E455" t="s">
        <v>18</v>
      </c>
      <c r="F455" t="s">
        <v>18</v>
      </c>
      <c r="G455" t="s">
        <v>18</v>
      </c>
      <c r="H455" t="e">
        <f t="shared" si="14"/>
        <v>#VALUE!</v>
      </c>
      <c r="I455" t="str">
        <f t="shared" si="15"/>
        <v>-</v>
      </c>
    </row>
    <row r="456" spans="1:9" x14ac:dyDescent="0.2">
      <c r="A456">
        <v>161053</v>
      </c>
      <c r="B456" t="s">
        <v>38</v>
      </c>
      <c r="C456" t="s">
        <v>8</v>
      </c>
      <c r="D456" t="s">
        <v>39</v>
      </c>
      <c r="E456" t="s">
        <v>18</v>
      </c>
      <c r="F456" t="s">
        <v>18</v>
      </c>
      <c r="G456" t="s">
        <v>18</v>
      </c>
      <c r="H456" t="e">
        <f t="shared" si="14"/>
        <v>#VALUE!</v>
      </c>
      <c r="I456" t="str">
        <f t="shared" si="15"/>
        <v>-</v>
      </c>
    </row>
    <row r="457" spans="1:9" x14ac:dyDescent="0.2">
      <c r="A457">
        <v>161435</v>
      </c>
      <c r="B457" t="s">
        <v>40</v>
      </c>
      <c r="C457" t="s">
        <v>8</v>
      </c>
      <c r="D457" t="s">
        <v>41</v>
      </c>
      <c r="E457" t="s">
        <v>18</v>
      </c>
      <c r="F457" t="s">
        <v>18</v>
      </c>
      <c r="G457" t="s">
        <v>18</v>
      </c>
      <c r="H457" t="e">
        <f t="shared" si="14"/>
        <v>#VALUE!</v>
      </c>
      <c r="I457" t="str">
        <f t="shared" si="15"/>
        <v>-</v>
      </c>
    </row>
    <row r="458" spans="1:9" x14ac:dyDescent="0.2">
      <c r="A458">
        <v>161657</v>
      </c>
      <c r="B458" t="s">
        <v>42</v>
      </c>
      <c r="C458" t="s">
        <v>8</v>
      </c>
      <c r="D458" t="s">
        <v>43</v>
      </c>
      <c r="E458">
        <v>3738</v>
      </c>
      <c r="F458">
        <v>1.87</v>
      </c>
      <c r="G458" t="s">
        <v>44</v>
      </c>
      <c r="H458" t="str">
        <f t="shared" si="14"/>
        <v>PSI</v>
      </c>
      <c r="I458">
        <f t="shared" si="15"/>
        <v>271.22056955549124</v>
      </c>
    </row>
    <row r="459" spans="1:9" x14ac:dyDescent="0.2">
      <c r="A459">
        <v>161849</v>
      </c>
      <c r="B459" t="s">
        <v>45</v>
      </c>
      <c r="C459" t="s">
        <v>8</v>
      </c>
      <c r="D459" t="s">
        <v>46</v>
      </c>
      <c r="E459">
        <v>1</v>
      </c>
      <c r="F459">
        <v>1</v>
      </c>
      <c r="G459" t="s">
        <v>15</v>
      </c>
      <c r="H459" t="str">
        <f t="shared" si="14"/>
        <v>PSI</v>
      </c>
      <c r="I459">
        <f t="shared" si="15"/>
        <v>1.4503773773020921E-2</v>
      </c>
    </row>
    <row r="460" spans="1:9" x14ac:dyDescent="0.2">
      <c r="A460">
        <v>162061</v>
      </c>
      <c r="B460" t="s">
        <v>47</v>
      </c>
      <c r="C460" t="s">
        <v>8</v>
      </c>
      <c r="D460" t="s">
        <v>48</v>
      </c>
      <c r="E460">
        <v>1280</v>
      </c>
      <c r="F460">
        <v>128</v>
      </c>
      <c r="G460" t="s">
        <v>49</v>
      </c>
      <c r="H460" t="e">
        <f t="shared" si="14"/>
        <v>#VALUE!</v>
      </c>
      <c r="I460" t="str">
        <f t="shared" si="15"/>
        <v>-</v>
      </c>
    </row>
    <row r="461" spans="1:9" x14ac:dyDescent="0.2">
      <c r="A461">
        <v>162283</v>
      </c>
      <c r="B461" t="s">
        <v>50</v>
      </c>
      <c r="C461" t="s">
        <v>8</v>
      </c>
      <c r="D461" t="s">
        <v>51</v>
      </c>
      <c r="E461">
        <v>24458</v>
      </c>
      <c r="F461">
        <v>955.39</v>
      </c>
      <c r="G461" t="s">
        <v>15</v>
      </c>
      <c r="H461" t="str">
        <f t="shared" si="14"/>
        <v>PSI</v>
      </c>
      <c r="I461">
        <f t="shared" si="15"/>
        <v>13.856760425006458</v>
      </c>
    </row>
    <row r="462" spans="1:9" x14ac:dyDescent="0.2">
      <c r="A462">
        <v>162475</v>
      </c>
      <c r="B462" t="s">
        <v>52</v>
      </c>
      <c r="C462" t="s">
        <v>8</v>
      </c>
      <c r="D462" t="s">
        <v>53</v>
      </c>
      <c r="E462">
        <v>100</v>
      </c>
      <c r="F462">
        <v>27</v>
      </c>
      <c r="G462" t="s">
        <v>10</v>
      </c>
      <c r="H462" t="e">
        <f t="shared" si="14"/>
        <v>#VALUE!</v>
      </c>
      <c r="I462" t="str">
        <f t="shared" si="15"/>
        <v>-</v>
      </c>
    </row>
    <row r="463" spans="1:9" x14ac:dyDescent="0.2">
      <c r="A463">
        <v>162667</v>
      </c>
      <c r="B463" t="s">
        <v>54</v>
      </c>
      <c r="C463" t="s">
        <v>8</v>
      </c>
      <c r="D463" t="s">
        <v>55</v>
      </c>
      <c r="E463">
        <v>5</v>
      </c>
      <c r="F463">
        <v>20</v>
      </c>
      <c r="G463" t="s">
        <v>56</v>
      </c>
      <c r="H463" t="e">
        <f t="shared" si="14"/>
        <v>#VALUE!</v>
      </c>
      <c r="I463" t="str">
        <f t="shared" si="15"/>
        <v>-</v>
      </c>
    </row>
    <row r="464" spans="1:9" x14ac:dyDescent="0.2">
      <c r="A464">
        <v>163049</v>
      </c>
      <c r="B464" t="s">
        <v>57</v>
      </c>
      <c r="C464" t="s">
        <v>8</v>
      </c>
      <c r="D464" t="s">
        <v>58</v>
      </c>
      <c r="E464" t="s">
        <v>18</v>
      </c>
      <c r="F464" t="s">
        <v>18</v>
      </c>
      <c r="G464" t="s">
        <v>18</v>
      </c>
      <c r="H464" t="e">
        <f t="shared" si="14"/>
        <v>#VALUE!</v>
      </c>
      <c r="I464" t="str">
        <f t="shared" si="15"/>
        <v>-</v>
      </c>
    </row>
    <row r="465" spans="1:9" x14ac:dyDescent="0.2">
      <c r="A465">
        <v>163431</v>
      </c>
      <c r="B465" t="s">
        <v>59</v>
      </c>
      <c r="C465" t="s">
        <v>8</v>
      </c>
      <c r="D465" t="s">
        <v>60</v>
      </c>
      <c r="E465" t="s">
        <v>18</v>
      </c>
      <c r="F465" t="s">
        <v>18</v>
      </c>
      <c r="G465" t="s">
        <v>18</v>
      </c>
      <c r="H465" t="e">
        <f t="shared" si="14"/>
        <v>#VALUE!</v>
      </c>
      <c r="I465" t="str">
        <f t="shared" si="15"/>
        <v>-</v>
      </c>
    </row>
    <row r="466" spans="1:9" x14ac:dyDescent="0.2">
      <c r="A466">
        <v>163813</v>
      </c>
      <c r="B466" t="s">
        <v>61</v>
      </c>
      <c r="C466" t="s">
        <v>8</v>
      </c>
      <c r="D466" t="s">
        <v>62</v>
      </c>
      <c r="E466" t="s">
        <v>18</v>
      </c>
      <c r="F466" t="s">
        <v>18</v>
      </c>
      <c r="G466" t="s">
        <v>18</v>
      </c>
      <c r="H466" t="e">
        <f t="shared" si="14"/>
        <v>#VALUE!</v>
      </c>
      <c r="I466" t="str">
        <f t="shared" si="15"/>
        <v>-</v>
      </c>
    </row>
    <row r="467" spans="1:9" x14ac:dyDescent="0.2">
      <c r="A467">
        <v>164195</v>
      </c>
      <c r="B467" t="s">
        <v>63</v>
      </c>
      <c r="C467" t="s">
        <v>8</v>
      </c>
      <c r="D467" t="s">
        <v>64</v>
      </c>
      <c r="E467" t="s">
        <v>18</v>
      </c>
      <c r="F467" t="s">
        <v>18</v>
      </c>
      <c r="G467" t="s">
        <v>18</v>
      </c>
      <c r="H467" t="e">
        <f t="shared" si="14"/>
        <v>#VALUE!</v>
      </c>
      <c r="I467" t="str">
        <f t="shared" si="15"/>
        <v>-</v>
      </c>
    </row>
    <row r="468" spans="1:9" x14ac:dyDescent="0.2">
      <c r="A468">
        <v>164448</v>
      </c>
      <c r="B468" t="s">
        <v>65</v>
      </c>
      <c r="C468" t="s">
        <v>8</v>
      </c>
      <c r="D468" t="s">
        <v>66</v>
      </c>
      <c r="E468">
        <v>27081</v>
      </c>
      <c r="F468">
        <v>3.31</v>
      </c>
      <c r="G468" t="s">
        <v>67</v>
      </c>
      <c r="H468" t="e">
        <f t="shared" si="14"/>
        <v>#VALUE!</v>
      </c>
      <c r="I468" t="str">
        <f t="shared" si="15"/>
        <v>-</v>
      </c>
    </row>
    <row r="469" spans="1:9" x14ac:dyDescent="0.2">
      <c r="A469">
        <v>164830</v>
      </c>
      <c r="B469" t="s">
        <v>68</v>
      </c>
      <c r="C469" t="s">
        <v>8</v>
      </c>
      <c r="D469" t="s">
        <v>69</v>
      </c>
      <c r="E469" t="s">
        <v>18</v>
      </c>
      <c r="F469" t="s">
        <v>18</v>
      </c>
      <c r="G469" t="s">
        <v>18</v>
      </c>
      <c r="H469" t="e">
        <f t="shared" si="14"/>
        <v>#VALUE!</v>
      </c>
      <c r="I469" t="str">
        <f t="shared" si="15"/>
        <v>-</v>
      </c>
    </row>
    <row r="470" spans="1:9" x14ac:dyDescent="0.2">
      <c r="A470">
        <v>165022</v>
      </c>
      <c r="B470" t="s">
        <v>7</v>
      </c>
      <c r="C470" t="s">
        <v>8</v>
      </c>
      <c r="D470" t="s">
        <v>9</v>
      </c>
      <c r="E470">
        <v>162</v>
      </c>
      <c r="F470">
        <v>102</v>
      </c>
      <c r="G470" t="s">
        <v>10</v>
      </c>
      <c r="H470" t="e">
        <f t="shared" si="14"/>
        <v>#VALUE!</v>
      </c>
      <c r="I470" t="str">
        <f t="shared" si="15"/>
        <v>-</v>
      </c>
    </row>
    <row r="471" spans="1:9" x14ac:dyDescent="0.2">
      <c r="A471">
        <v>165214</v>
      </c>
      <c r="B471" t="s">
        <v>11</v>
      </c>
      <c r="C471" t="s">
        <v>8</v>
      </c>
      <c r="D471" t="s">
        <v>12</v>
      </c>
      <c r="E471">
        <v>201</v>
      </c>
      <c r="F471">
        <v>102.75</v>
      </c>
      <c r="G471" t="s">
        <v>10</v>
      </c>
      <c r="H471" t="e">
        <f t="shared" si="14"/>
        <v>#VALUE!</v>
      </c>
      <c r="I471" t="str">
        <f t="shared" si="15"/>
        <v>-</v>
      </c>
    </row>
    <row r="472" spans="1:9" x14ac:dyDescent="0.2">
      <c r="A472">
        <v>165426</v>
      </c>
      <c r="B472" t="s">
        <v>13</v>
      </c>
      <c r="C472" t="s">
        <v>8</v>
      </c>
      <c r="D472" t="s">
        <v>14</v>
      </c>
      <c r="E472">
        <v>25902</v>
      </c>
      <c r="F472">
        <v>1011.8</v>
      </c>
      <c r="G472" t="s">
        <v>15</v>
      </c>
      <c r="H472" t="str">
        <f t="shared" si="14"/>
        <v>PSI</v>
      </c>
      <c r="I472">
        <f t="shared" si="15"/>
        <v>14.674918303542567</v>
      </c>
    </row>
    <row r="473" spans="1:9" x14ac:dyDescent="0.2">
      <c r="A473">
        <v>165808</v>
      </c>
      <c r="B473" t="s">
        <v>16</v>
      </c>
      <c r="C473" t="s">
        <v>8</v>
      </c>
      <c r="D473" t="s">
        <v>17</v>
      </c>
      <c r="E473" t="s">
        <v>18</v>
      </c>
      <c r="F473" t="s">
        <v>18</v>
      </c>
      <c r="G473" t="s">
        <v>18</v>
      </c>
      <c r="H473" t="e">
        <f t="shared" si="14"/>
        <v>#VALUE!</v>
      </c>
      <c r="I473" t="str">
        <f t="shared" si="15"/>
        <v>-</v>
      </c>
    </row>
    <row r="474" spans="1:9" x14ac:dyDescent="0.2">
      <c r="A474">
        <v>166010</v>
      </c>
      <c r="B474" t="s">
        <v>19</v>
      </c>
      <c r="C474" t="s">
        <v>8</v>
      </c>
      <c r="D474" t="s">
        <v>20</v>
      </c>
      <c r="E474">
        <v>12988</v>
      </c>
      <c r="F474">
        <v>1014.69</v>
      </c>
      <c r="G474" t="s">
        <v>15</v>
      </c>
      <c r="H474" t="str">
        <f t="shared" si="14"/>
        <v>PSI</v>
      </c>
      <c r="I474">
        <f t="shared" si="15"/>
        <v>14.716834209746597</v>
      </c>
    </row>
    <row r="475" spans="1:9" x14ac:dyDescent="0.2">
      <c r="A475">
        <v>166223</v>
      </c>
      <c r="B475" t="s">
        <v>21</v>
      </c>
      <c r="C475" t="s">
        <v>8</v>
      </c>
      <c r="D475" t="s">
        <v>22</v>
      </c>
      <c r="E475">
        <v>6167</v>
      </c>
      <c r="F475">
        <v>1541.75</v>
      </c>
      <c r="G475" t="s">
        <v>23</v>
      </c>
      <c r="H475" t="e">
        <f t="shared" si="14"/>
        <v>#VALUE!</v>
      </c>
      <c r="I475" t="str">
        <f t="shared" si="15"/>
        <v>-</v>
      </c>
    </row>
    <row r="476" spans="1:9" x14ac:dyDescent="0.2">
      <c r="A476">
        <v>166415</v>
      </c>
      <c r="B476" t="s">
        <v>24</v>
      </c>
      <c r="C476" t="s">
        <v>8</v>
      </c>
      <c r="D476" t="s">
        <v>25</v>
      </c>
      <c r="E476">
        <v>4</v>
      </c>
      <c r="F476">
        <v>4</v>
      </c>
      <c r="G476" t="s">
        <v>26</v>
      </c>
      <c r="H476" t="e">
        <f t="shared" si="14"/>
        <v>#VALUE!</v>
      </c>
      <c r="I476" t="str">
        <f t="shared" si="15"/>
        <v>-</v>
      </c>
    </row>
    <row r="477" spans="1:9" x14ac:dyDescent="0.2">
      <c r="A477">
        <v>166627</v>
      </c>
      <c r="B477" t="s">
        <v>27</v>
      </c>
      <c r="C477" t="s">
        <v>8</v>
      </c>
      <c r="D477" t="s">
        <v>28</v>
      </c>
      <c r="E477">
        <v>601</v>
      </c>
      <c r="F477">
        <v>14.11</v>
      </c>
      <c r="G477" t="s">
        <v>29</v>
      </c>
      <c r="H477" t="e">
        <f t="shared" si="14"/>
        <v>#VALUE!</v>
      </c>
      <c r="I477" t="str">
        <f t="shared" si="15"/>
        <v>-</v>
      </c>
    </row>
    <row r="478" spans="1:9" x14ac:dyDescent="0.2">
      <c r="A478">
        <v>166839</v>
      </c>
      <c r="B478" t="s">
        <v>30</v>
      </c>
      <c r="C478" t="s">
        <v>8</v>
      </c>
      <c r="D478" t="s">
        <v>31</v>
      </c>
      <c r="E478">
        <v>2744</v>
      </c>
      <c r="F478">
        <v>2744</v>
      </c>
      <c r="G478" t="s">
        <v>15</v>
      </c>
      <c r="H478" t="str">
        <f t="shared" si="14"/>
        <v>PSI</v>
      </c>
      <c r="I478">
        <f t="shared" si="15"/>
        <v>39.79835523316941</v>
      </c>
    </row>
    <row r="479" spans="1:9" x14ac:dyDescent="0.2">
      <c r="A479">
        <v>167051</v>
      </c>
      <c r="B479" t="s">
        <v>32</v>
      </c>
      <c r="C479" t="s">
        <v>8</v>
      </c>
      <c r="D479" t="s">
        <v>33</v>
      </c>
      <c r="E479">
        <v>3698</v>
      </c>
      <c r="F479">
        <v>0.9</v>
      </c>
      <c r="G479" t="s">
        <v>26</v>
      </c>
      <c r="H479" t="e">
        <f t="shared" si="14"/>
        <v>#VALUE!</v>
      </c>
      <c r="I479" t="str">
        <f t="shared" si="15"/>
        <v>-</v>
      </c>
    </row>
    <row r="480" spans="1:9" x14ac:dyDescent="0.2">
      <c r="A480">
        <v>167253</v>
      </c>
      <c r="B480" t="s">
        <v>34</v>
      </c>
      <c r="C480" t="s">
        <v>8</v>
      </c>
      <c r="D480" t="s">
        <v>35</v>
      </c>
      <c r="E480">
        <v>3719</v>
      </c>
      <c r="F480">
        <v>0.91</v>
      </c>
      <c r="G480" t="s">
        <v>26</v>
      </c>
      <c r="H480" t="e">
        <f t="shared" si="14"/>
        <v>#VALUE!</v>
      </c>
      <c r="I480" t="str">
        <f t="shared" si="15"/>
        <v>-</v>
      </c>
    </row>
    <row r="481" spans="1:9" x14ac:dyDescent="0.2">
      <c r="A481">
        <v>167635</v>
      </c>
      <c r="B481" t="s">
        <v>36</v>
      </c>
      <c r="C481" t="s">
        <v>8</v>
      </c>
      <c r="D481" t="s">
        <v>37</v>
      </c>
      <c r="E481" t="s">
        <v>18</v>
      </c>
      <c r="F481" t="s">
        <v>18</v>
      </c>
      <c r="G481" t="s">
        <v>18</v>
      </c>
      <c r="H481" t="e">
        <f t="shared" si="14"/>
        <v>#VALUE!</v>
      </c>
      <c r="I481" t="str">
        <f t="shared" si="15"/>
        <v>-</v>
      </c>
    </row>
    <row r="482" spans="1:9" x14ac:dyDescent="0.2">
      <c r="A482">
        <v>168017</v>
      </c>
      <c r="B482" t="s">
        <v>38</v>
      </c>
      <c r="C482" t="s">
        <v>8</v>
      </c>
      <c r="D482" t="s">
        <v>39</v>
      </c>
      <c r="E482" t="s">
        <v>18</v>
      </c>
      <c r="F482" t="s">
        <v>18</v>
      </c>
      <c r="G482" t="s">
        <v>18</v>
      </c>
      <c r="H482" t="e">
        <f t="shared" si="14"/>
        <v>#VALUE!</v>
      </c>
      <c r="I482" t="str">
        <f t="shared" si="15"/>
        <v>-</v>
      </c>
    </row>
    <row r="483" spans="1:9" x14ac:dyDescent="0.2">
      <c r="A483">
        <v>168399</v>
      </c>
      <c r="B483" t="s">
        <v>40</v>
      </c>
      <c r="C483" t="s">
        <v>8</v>
      </c>
      <c r="D483" t="s">
        <v>41</v>
      </c>
      <c r="E483" t="s">
        <v>18</v>
      </c>
      <c r="F483" t="s">
        <v>18</v>
      </c>
      <c r="G483" t="s">
        <v>18</v>
      </c>
      <c r="H483" t="e">
        <f t="shared" si="14"/>
        <v>#VALUE!</v>
      </c>
      <c r="I483" t="str">
        <f t="shared" si="15"/>
        <v>-</v>
      </c>
    </row>
    <row r="484" spans="1:9" x14ac:dyDescent="0.2">
      <c r="A484">
        <v>168611</v>
      </c>
      <c r="B484" t="s">
        <v>42</v>
      </c>
      <c r="C484" t="s">
        <v>8</v>
      </c>
      <c r="D484" t="s">
        <v>43</v>
      </c>
      <c r="E484">
        <v>10386</v>
      </c>
      <c r="F484">
        <v>5.19</v>
      </c>
      <c r="G484" t="s">
        <v>44</v>
      </c>
      <c r="H484" t="str">
        <f t="shared" si="14"/>
        <v>PSI</v>
      </c>
      <c r="I484">
        <f t="shared" si="15"/>
        <v>752.74585881978578</v>
      </c>
    </row>
    <row r="485" spans="1:9" x14ac:dyDescent="0.2">
      <c r="A485">
        <v>168813</v>
      </c>
      <c r="B485" t="s">
        <v>45</v>
      </c>
      <c r="C485" t="s">
        <v>8</v>
      </c>
      <c r="D485" t="s">
        <v>46</v>
      </c>
      <c r="E485">
        <v>1</v>
      </c>
      <c r="F485">
        <v>1</v>
      </c>
      <c r="G485" t="s">
        <v>15</v>
      </c>
      <c r="H485" t="str">
        <f t="shared" si="14"/>
        <v>PSI</v>
      </c>
      <c r="I485">
        <f t="shared" si="15"/>
        <v>1.4503773773020921E-2</v>
      </c>
    </row>
    <row r="486" spans="1:9" x14ac:dyDescent="0.2">
      <c r="A486">
        <v>169025</v>
      </c>
      <c r="B486" t="s">
        <v>47</v>
      </c>
      <c r="C486" t="s">
        <v>8</v>
      </c>
      <c r="D486" t="s">
        <v>48</v>
      </c>
      <c r="E486">
        <v>1350</v>
      </c>
      <c r="F486">
        <v>135</v>
      </c>
      <c r="G486" t="s">
        <v>49</v>
      </c>
      <c r="H486" t="e">
        <f t="shared" si="14"/>
        <v>#VALUE!</v>
      </c>
      <c r="I486" t="str">
        <f t="shared" si="15"/>
        <v>-</v>
      </c>
    </row>
    <row r="487" spans="1:9" x14ac:dyDescent="0.2">
      <c r="A487">
        <v>169237</v>
      </c>
      <c r="B487" t="s">
        <v>50</v>
      </c>
      <c r="C487" t="s">
        <v>8</v>
      </c>
      <c r="D487" t="s">
        <v>51</v>
      </c>
      <c r="E487">
        <v>24413</v>
      </c>
      <c r="F487">
        <v>953.63</v>
      </c>
      <c r="G487" t="s">
        <v>15</v>
      </c>
      <c r="H487" t="str">
        <f t="shared" si="14"/>
        <v>PSI</v>
      </c>
      <c r="I487">
        <f t="shared" si="15"/>
        <v>13.83123378316594</v>
      </c>
    </row>
    <row r="488" spans="1:9" x14ac:dyDescent="0.2">
      <c r="A488">
        <v>169429</v>
      </c>
      <c r="B488" t="s">
        <v>52</v>
      </c>
      <c r="C488" t="s">
        <v>8</v>
      </c>
      <c r="D488" t="s">
        <v>53</v>
      </c>
      <c r="E488">
        <v>100</v>
      </c>
      <c r="F488">
        <v>27</v>
      </c>
      <c r="G488" t="s">
        <v>10</v>
      </c>
      <c r="H488" t="e">
        <f t="shared" si="14"/>
        <v>#VALUE!</v>
      </c>
      <c r="I488" t="str">
        <f t="shared" si="15"/>
        <v>-</v>
      </c>
    </row>
    <row r="489" spans="1:9" x14ac:dyDescent="0.2">
      <c r="A489">
        <v>169621</v>
      </c>
      <c r="B489" t="s">
        <v>54</v>
      </c>
      <c r="C489" t="s">
        <v>8</v>
      </c>
      <c r="D489" t="s">
        <v>55</v>
      </c>
      <c r="E489">
        <v>3</v>
      </c>
      <c r="F489">
        <v>12</v>
      </c>
      <c r="G489" t="s">
        <v>56</v>
      </c>
      <c r="H489" t="e">
        <f t="shared" si="14"/>
        <v>#VALUE!</v>
      </c>
      <c r="I489" t="str">
        <f t="shared" si="15"/>
        <v>-</v>
      </c>
    </row>
    <row r="490" spans="1:9" x14ac:dyDescent="0.2">
      <c r="A490">
        <v>170003</v>
      </c>
      <c r="B490" t="s">
        <v>57</v>
      </c>
      <c r="C490" t="s">
        <v>8</v>
      </c>
      <c r="D490" t="s">
        <v>58</v>
      </c>
      <c r="E490" t="s">
        <v>18</v>
      </c>
      <c r="F490" t="s">
        <v>18</v>
      </c>
      <c r="G490" t="s">
        <v>18</v>
      </c>
      <c r="H490" t="e">
        <f t="shared" si="14"/>
        <v>#VALUE!</v>
      </c>
      <c r="I490" t="str">
        <f t="shared" si="15"/>
        <v>-</v>
      </c>
    </row>
    <row r="491" spans="1:9" x14ac:dyDescent="0.2">
      <c r="A491">
        <v>170385</v>
      </c>
      <c r="B491" t="s">
        <v>59</v>
      </c>
      <c r="C491" t="s">
        <v>8</v>
      </c>
      <c r="D491" t="s">
        <v>60</v>
      </c>
      <c r="E491" t="s">
        <v>18</v>
      </c>
      <c r="F491" t="s">
        <v>18</v>
      </c>
      <c r="G491" t="s">
        <v>18</v>
      </c>
      <c r="H491" t="e">
        <f t="shared" si="14"/>
        <v>#VALUE!</v>
      </c>
      <c r="I491" t="str">
        <f t="shared" si="15"/>
        <v>-</v>
      </c>
    </row>
    <row r="492" spans="1:9" x14ac:dyDescent="0.2">
      <c r="A492">
        <v>170767</v>
      </c>
      <c r="B492" t="s">
        <v>61</v>
      </c>
      <c r="C492" t="s">
        <v>8</v>
      </c>
      <c r="D492" t="s">
        <v>62</v>
      </c>
      <c r="E492" t="s">
        <v>18</v>
      </c>
      <c r="F492" t="s">
        <v>18</v>
      </c>
      <c r="G492" t="s">
        <v>18</v>
      </c>
      <c r="H492" t="e">
        <f t="shared" si="14"/>
        <v>#VALUE!</v>
      </c>
      <c r="I492" t="str">
        <f t="shared" si="15"/>
        <v>-</v>
      </c>
    </row>
    <row r="493" spans="1:9" x14ac:dyDescent="0.2">
      <c r="A493">
        <v>171149</v>
      </c>
      <c r="B493" t="s">
        <v>63</v>
      </c>
      <c r="C493" t="s">
        <v>8</v>
      </c>
      <c r="D493" t="s">
        <v>64</v>
      </c>
      <c r="E493" t="s">
        <v>18</v>
      </c>
      <c r="F493" t="s">
        <v>18</v>
      </c>
      <c r="G493" t="s">
        <v>18</v>
      </c>
      <c r="H493" t="e">
        <f t="shared" si="14"/>
        <v>#VALUE!</v>
      </c>
      <c r="I493" t="str">
        <f t="shared" si="15"/>
        <v>-</v>
      </c>
    </row>
    <row r="494" spans="1:9" x14ac:dyDescent="0.2">
      <c r="A494">
        <v>171401</v>
      </c>
      <c r="B494" t="s">
        <v>65</v>
      </c>
      <c r="C494" t="s">
        <v>8</v>
      </c>
      <c r="D494" t="s">
        <v>66</v>
      </c>
      <c r="E494">
        <v>27095</v>
      </c>
      <c r="F494">
        <v>3.31</v>
      </c>
      <c r="G494" t="s">
        <v>67</v>
      </c>
      <c r="H494" t="e">
        <f t="shared" si="14"/>
        <v>#VALUE!</v>
      </c>
      <c r="I494" t="str">
        <f t="shared" si="15"/>
        <v>-</v>
      </c>
    </row>
    <row r="495" spans="1:9" x14ac:dyDescent="0.2">
      <c r="A495">
        <v>171783</v>
      </c>
      <c r="B495" t="s">
        <v>68</v>
      </c>
      <c r="C495" t="s">
        <v>8</v>
      </c>
      <c r="D495" t="s">
        <v>69</v>
      </c>
      <c r="E495" t="s">
        <v>18</v>
      </c>
      <c r="F495" t="s">
        <v>18</v>
      </c>
      <c r="G495" t="s">
        <v>18</v>
      </c>
      <c r="H495" t="e">
        <f t="shared" si="14"/>
        <v>#VALUE!</v>
      </c>
      <c r="I495" t="str">
        <f t="shared" si="15"/>
        <v>-</v>
      </c>
    </row>
    <row r="496" spans="1:9" x14ac:dyDescent="0.2">
      <c r="A496">
        <v>171985</v>
      </c>
      <c r="B496" t="s">
        <v>7</v>
      </c>
      <c r="C496" t="s">
        <v>8</v>
      </c>
      <c r="D496" t="s">
        <v>9</v>
      </c>
      <c r="E496">
        <v>162</v>
      </c>
      <c r="F496">
        <v>102</v>
      </c>
      <c r="G496" t="s">
        <v>10</v>
      </c>
      <c r="H496" t="e">
        <f t="shared" si="14"/>
        <v>#VALUE!</v>
      </c>
      <c r="I496" t="str">
        <f t="shared" si="15"/>
        <v>-</v>
      </c>
    </row>
    <row r="497" spans="1:9" x14ac:dyDescent="0.2">
      <c r="A497">
        <v>172177</v>
      </c>
      <c r="B497" t="s">
        <v>11</v>
      </c>
      <c r="C497" t="s">
        <v>8</v>
      </c>
      <c r="D497" t="s">
        <v>12</v>
      </c>
      <c r="E497">
        <v>201</v>
      </c>
      <c r="F497">
        <v>102.75</v>
      </c>
      <c r="G497" t="s">
        <v>10</v>
      </c>
      <c r="H497" t="e">
        <f t="shared" si="14"/>
        <v>#VALUE!</v>
      </c>
      <c r="I497" t="str">
        <f t="shared" si="15"/>
        <v>-</v>
      </c>
    </row>
    <row r="498" spans="1:9" x14ac:dyDescent="0.2">
      <c r="A498">
        <v>172389</v>
      </c>
      <c r="B498" t="s">
        <v>13</v>
      </c>
      <c r="C498" t="s">
        <v>8</v>
      </c>
      <c r="D498" t="s">
        <v>14</v>
      </c>
      <c r="E498">
        <v>25902</v>
      </c>
      <c r="F498">
        <v>1011.8</v>
      </c>
      <c r="G498" t="s">
        <v>15</v>
      </c>
      <c r="H498" t="str">
        <f t="shared" si="14"/>
        <v>PSI</v>
      </c>
      <c r="I498">
        <f t="shared" si="15"/>
        <v>14.674918303542567</v>
      </c>
    </row>
    <row r="499" spans="1:9" x14ac:dyDescent="0.2">
      <c r="A499">
        <v>172771</v>
      </c>
      <c r="B499" t="s">
        <v>16</v>
      </c>
      <c r="C499" t="s">
        <v>8</v>
      </c>
      <c r="D499" t="s">
        <v>17</v>
      </c>
      <c r="E499" t="s">
        <v>18</v>
      </c>
      <c r="F499" t="s">
        <v>18</v>
      </c>
      <c r="G499" t="s">
        <v>18</v>
      </c>
      <c r="H499" t="e">
        <f t="shared" si="14"/>
        <v>#VALUE!</v>
      </c>
      <c r="I499" t="str">
        <f t="shared" si="15"/>
        <v>-</v>
      </c>
    </row>
    <row r="500" spans="1:9" x14ac:dyDescent="0.2">
      <c r="A500">
        <v>172983</v>
      </c>
      <c r="B500" t="s">
        <v>19</v>
      </c>
      <c r="C500" t="s">
        <v>8</v>
      </c>
      <c r="D500" t="s">
        <v>20</v>
      </c>
      <c r="E500">
        <v>12931</v>
      </c>
      <c r="F500">
        <v>1010.23</v>
      </c>
      <c r="G500" t="s">
        <v>15</v>
      </c>
      <c r="H500" t="str">
        <f t="shared" si="14"/>
        <v>PSI</v>
      </c>
      <c r="I500">
        <f t="shared" si="15"/>
        <v>14.652147378718924</v>
      </c>
    </row>
    <row r="501" spans="1:9" x14ac:dyDescent="0.2">
      <c r="A501">
        <v>173195</v>
      </c>
      <c r="B501" t="s">
        <v>21</v>
      </c>
      <c r="C501" t="s">
        <v>8</v>
      </c>
      <c r="D501" t="s">
        <v>22</v>
      </c>
      <c r="E501">
        <v>3409</v>
      </c>
      <c r="F501">
        <v>852.25</v>
      </c>
      <c r="G501" t="s">
        <v>23</v>
      </c>
      <c r="H501" t="e">
        <f t="shared" si="14"/>
        <v>#VALUE!</v>
      </c>
      <c r="I501" t="str">
        <f t="shared" si="15"/>
        <v>-</v>
      </c>
    </row>
    <row r="502" spans="1:9" x14ac:dyDescent="0.2">
      <c r="A502">
        <v>173387</v>
      </c>
      <c r="B502" t="s">
        <v>24</v>
      </c>
      <c r="C502" t="s">
        <v>8</v>
      </c>
      <c r="D502" t="s">
        <v>25</v>
      </c>
      <c r="E502">
        <v>3</v>
      </c>
      <c r="F502">
        <v>3</v>
      </c>
      <c r="G502" t="s">
        <v>26</v>
      </c>
      <c r="H502" t="e">
        <f t="shared" si="14"/>
        <v>#VALUE!</v>
      </c>
      <c r="I502" t="str">
        <f t="shared" si="15"/>
        <v>-</v>
      </c>
    </row>
    <row r="503" spans="1:9" x14ac:dyDescent="0.2">
      <c r="A503">
        <v>173599</v>
      </c>
      <c r="B503" t="s">
        <v>27</v>
      </c>
      <c r="C503" t="s">
        <v>8</v>
      </c>
      <c r="D503" t="s">
        <v>28</v>
      </c>
      <c r="E503">
        <v>601</v>
      </c>
      <c r="F503">
        <v>14.11</v>
      </c>
      <c r="G503" t="s">
        <v>29</v>
      </c>
      <c r="H503" t="e">
        <f t="shared" si="14"/>
        <v>#VALUE!</v>
      </c>
      <c r="I503" t="str">
        <f t="shared" si="15"/>
        <v>-</v>
      </c>
    </row>
    <row r="504" spans="1:9" x14ac:dyDescent="0.2">
      <c r="A504">
        <v>173822</v>
      </c>
      <c r="B504" t="s">
        <v>30</v>
      </c>
      <c r="C504" t="s">
        <v>8</v>
      </c>
      <c r="D504" t="s">
        <v>31</v>
      </c>
      <c r="E504">
        <v>2570</v>
      </c>
      <c r="F504">
        <v>2570</v>
      </c>
      <c r="G504" t="s">
        <v>15</v>
      </c>
      <c r="H504" t="str">
        <f t="shared" si="14"/>
        <v>PSI</v>
      </c>
      <c r="I504">
        <f t="shared" si="15"/>
        <v>37.274698596663768</v>
      </c>
    </row>
    <row r="505" spans="1:9" x14ac:dyDescent="0.2">
      <c r="A505">
        <v>174034</v>
      </c>
      <c r="B505" t="s">
        <v>32</v>
      </c>
      <c r="C505" t="s">
        <v>8</v>
      </c>
      <c r="D505" t="s">
        <v>33</v>
      </c>
      <c r="E505">
        <v>3727</v>
      </c>
      <c r="F505">
        <v>0.91</v>
      </c>
      <c r="G505" t="s">
        <v>26</v>
      </c>
      <c r="H505" t="e">
        <f t="shared" si="14"/>
        <v>#VALUE!</v>
      </c>
      <c r="I505" t="str">
        <f t="shared" si="15"/>
        <v>-</v>
      </c>
    </row>
    <row r="506" spans="1:9" x14ac:dyDescent="0.2">
      <c r="A506">
        <v>174255</v>
      </c>
      <c r="B506" t="s">
        <v>34</v>
      </c>
      <c r="C506" t="s">
        <v>8</v>
      </c>
      <c r="D506" t="s">
        <v>35</v>
      </c>
      <c r="E506">
        <v>3720</v>
      </c>
      <c r="F506">
        <v>0.91</v>
      </c>
      <c r="G506" t="s">
        <v>26</v>
      </c>
      <c r="H506" t="e">
        <f t="shared" si="14"/>
        <v>#VALUE!</v>
      </c>
      <c r="I506" t="str">
        <f t="shared" si="15"/>
        <v>-</v>
      </c>
    </row>
    <row r="507" spans="1:9" x14ac:dyDescent="0.2">
      <c r="A507">
        <v>174637</v>
      </c>
      <c r="B507" t="s">
        <v>36</v>
      </c>
      <c r="C507" t="s">
        <v>8</v>
      </c>
      <c r="D507" t="s">
        <v>37</v>
      </c>
      <c r="E507" t="s">
        <v>18</v>
      </c>
      <c r="F507" t="s">
        <v>18</v>
      </c>
      <c r="G507" t="s">
        <v>18</v>
      </c>
      <c r="H507" t="e">
        <f t="shared" si="14"/>
        <v>#VALUE!</v>
      </c>
      <c r="I507" t="str">
        <f t="shared" si="15"/>
        <v>-</v>
      </c>
    </row>
    <row r="508" spans="1:9" x14ac:dyDescent="0.2">
      <c r="A508">
        <v>175019</v>
      </c>
      <c r="B508" t="s">
        <v>38</v>
      </c>
      <c r="C508" t="s">
        <v>8</v>
      </c>
      <c r="D508" t="s">
        <v>39</v>
      </c>
      <c r="E508" t="s">
        <v>18</v>
      </c>
      <c r="F508" t="s">
        <v>18</v>
      </c>
      <c r="G508" t="s">
        <v>18</v>
      </c>
      <c r="H508" t="e">
        <f t="shared" si="14"/>
        <v>#VALUE!</v>
      </c>
      <c r="I508" t="str">
        <f t="shared" si="15"/>
        <v>-</v>
      </c>
    </row>
    <row r="509" spans="1:9" x14ac:dyDescent="0.2">
      <c r="A509">
        <v>175401</v>
      </c>
      <c r="B509" t="s">
        <v>40</v>
      </c>
      <c r="C509" t="s">
        <v>8</v>
      </c>
      <c r="D509" t="s">
        <v>41</v>
      </c>
      <c r="E509" t="s">
        <v>18</v>
      </c>
      <c r="F509" t="s">
        <v>18</v>
      </c>
      <c r="G509" t="s">
        <v>18</v>
      </c>
      <c r="H509" t="e">
        <f t="shared" si="14"/>
        <v>#VALUE!</v>
      </c>
      <c r="I509" t="str">
        <f t="shared" si="15"/>
        <v>-</v>
      </c>
    </row>
    <row r="510" spans="1:9" x14ac:dyDescent="0.2">
      <c r="A510">
        <v>175613</v>
      </c>
      <c r="B510" t="s">
        <v>42</v>
      </c>
      <c r="C510" t="s">
        <v>8</v>
      </c>
      <c r="D510" t="s">
        <v>43</v>
      </c>
      <c r="E510">
        <v>11771</v>
      </c>
      <c r="F510">
        <v>5.89</v>
      </c>
      <c r="G510" t="s">
        <v>44</v>
      </c>
      <c r="H510" t="str">
        <f t="shared" si="14"/>
        <v>PSI</v>
      </c>
      <c r="I510">
        <f t="shared" si="15"/>
        <v>854.27227523093222</v>
      </c>
    </row>
    <row r="511" spans="1:9" x14ac:dyDescent="0.2">
      <c r="A511">
        <v>175805</v>
      </c>
      <c r="B511" t="s">
        <v>45</v>
      </c>
      <c r="C511" t="s">
        <v>8</v>
      </c>
      <c r="D511" t="s">
        <v>46</v>
      </c>
      <c r="E511">
        <v>1</v>
      </c>
      <c r="F511">
        <v>1</v>
      </c>
      <c r="G511" t="s">
        <v>15</v>
      </c>
      <c r="H511" t="str">
        <f t="shared" si="14"/>
        <v>PSI</v>
      </c>
      <c r="I511">
        <f t="shared" si="15"/>
        <v>1.4503773773020921E-2</v>
      </c>
    </row>
    <row r="512" spans="1:9" x14ac:dyDescent="0.2">
      <c r="A512">
        <v>176017</v>
      </c>
      <c r="B512" t="s">
        <v>47</v>
      </c>
      <c r="C512" t="s">
        <v>8</v>
      </c>
      <c r="D512" t="s">
        <v>48</v>
      </c>
      <c r="E512">
        <v>1419</v>
      </c>
      <c r="F512">
        <v>141.9</v>
      </c>
      <c r="G512" t="s">
        <v>49</v>
      </c>
      <c r="H512" t="e">
        <f t="shared" si="14"/>
        <v>#VALUE!</v>
      </c>
      <c r="I512" t="str">
        <f t="shared" si="15"/>
        <v>-</v>
      </c>
    </row>
    <row r="513" spans="1:9" x14ac:dyDescent="0.2">
      <c r="A513">
        <v>176230</v>
      </c>
      <c r="B513" t="s">
        <v>50</v>
      </c>
      <c r="C513" t="s">
        <v>8</v>
      </c>
      <c r="D513" t="s">
        <v>51</v>
      </c>
      <c r="E513">
        <v>24372</v>
      </c>
      <c r="F513">
        <v>952.03</v>
      </c>
      <c r="G513" t="s">
        <v>15</v>
      </c>
      <c r="H513" t="str">
        <f t="shared" si="14"/>
        <v>PSI</v>
      </c>
      <c r="I513">
        <f t="shared" si="15"/>
        <v>13.808027745129108</v>
      </c>
    </row>
    <row r="514" spans="1:9" x14ac:dyDescent="0.2">
      <c r="A514">
        <v>176412</v>
      </c>
      <c r="B514" t="s">
        <v>52</v>
      </c>
      <c r="C514" t="s">
        <v>8</v>
      </c>
      <c r="D514" t="s">
        <v>53</v>
      </c>
      <c r="E514">
        <v>100</v>
      </c>
      <c r="F514">
        <v>27</v>
      </c>
      <c r="G514" t="s">
        <v>10</v>
      </c>
      <c r="H514" t="e">
        <f t="shared" si="14"/>
        <v>#VALUE!</v>
      </c>
      <c r="I514" t="str">
        <f t="shared" si="15"/>
        <v>-</v>
      </c>
    </row>
    <row r="515" spans="1:9" x14ac:dyDescent="0.2">
      <c r="A515">
        <v>176644</v>
      </c>
      <c r="B515" t="s">
        <v>54</v>
      </c>
      <c r="C515" t="s">
        <v>8</v>
      </c>
      <c r="D515" t="s">
        <v>55</v>
      </c>
      <c r="E515">
        <v>14</v>
      </c>
      <c r="F515">
        <v>56</v>
      </c>
      <c r="G515" t="s">
        <v>56</v>
      </c>
      <c r="H515" t="e">
        <f t="shared" ref="H515:H578" si="16">IF(FIND("Pa",G515,1),"PSI","-")</f>
        <v>#VALUE!</v>
      </c>
      <c r="I515" t="str">
        <f t="shared" ref="I515:I578" si="17">IF(G515="hPa",CONVERT(F515*100,"Pa","psi"), IF(G515="MPa",CONVERT(F515*1000000,"Pa","psi"),"-"))</f>
        <v>-</v>
      </c>
    </row>
    <row r="516" spans="1:9" x14ac:dyDescent="0.2">
      <c r="A516">
        <v>177016</v>
      </c>
      <c r="B516" t="s">
        <v>57</v>
      </c>
      <c r="C516" t="s">
        <v>8</v>
      </c>
      <c r="D516" t="s">
        <v>58</v>
      </c>
      <c r="E516" t="s">
        <v>18</v>
      </c>
      <c r="F516" t="s">
        <v>18</v>
      </c>
      <c r="G516" t="s">
        <v>18</v>
      </c>
      <c r="H516" t="e">
        <f t="shared" si="16"/>
        <v>#VALUE!</v>
      </c>
      <c r="I516" t="str">
        <f t="shared" si="17"/>
        <v>-</v>
      </c>
    </row>
    <row r="517" spans="1:9" x14ac:dyDescent="0.2">
      <c r="A517">
        <v>177398</v>
      </c>
      <c r="B517" t="s">
        <v>59</v>
      </c>
      <c r="C517" t="s">
        <v>8</v>
      </c>
      <c r="D517" t="s">
        <v>60</v>
      </c>
      <c r="E517" t="s">
        <v>18</v>
      </c>
      <c r="F517" t="s">
        <v>18</v>
      </c>
      <c r="G517" t="s">
        <v>18</v>
      </c>
      <c r="H517" t="e">
        <f t="shared" si="16"/>
        <v>#VALUE!</v>
      </c>
      <c r="I517" t="str">
        <f t="shared" si="17"/>
        <v>-</v>
      </c>
    </row>
    <row r="518" spans="1:9" x14ac:dyDescent="0.2">
      <c r="A518">
        <v>177780</v>
      </c>
      <c r="B518" t="s">
        <v>61</v>
      </c>
      <c r="C518" t="s">
        <v>8</v>
      </c>
      <c r="D518" t="s">
        <v>62</v>
      </c>
      <c r="E518" t="s">
        <v>18</v>
      </c>
      <c r="F518" t="s">
        <v>18</v>
      </c>
      <c r="G518" t="s">
        <v>18</v>
      </c>
      <c r="H518" t="e">
        <f t="shared" si="16"/>
        <v>#VALUE!</v>
      </c>
      <c r="I518" t="str">
        <f t="shared" si="17"/>
        <v>-</v>
      </c>
    </row>
    <row r="519" spans="1:9" x14ac:dyDescent="0.2">
      <c r="A519">
        <v>178172</v>
      </c>
      <c r="B519" t="s">
        <v>63</v>
      </c>
      <c r="C519" t="s">
        <v>8</v>
      </c>
      <c r="D519" t="s">
        <v>64</v>
      </c>
      <c r="E519" t="s">
        <v>18</v>
      </c>
      <c r="F519" t="s">
        <v>18</v>
      </c>
      <c r="G519" t="s">
        <v>18</v>
      </c>
      <c r="H519" t="e">
        <f t="shared" si="16"/>
        <v>#VALUE!</v>
      </c>
      <c r="I519" t="str">
        <f t="shared" si="17"/>
        <v>-</v>
      </c>
    </row>
    <row r="520" spans="1:9" x14ac:dyDescent="0.2">
      <c r="A520">
        <v>178424</v>
      </c>
      <c r="B520" t="s">
        <v>65</v>
      </c>
      <c r="C520" t="s">
        <v>8</v>
      </c>
      <c r="D520" t="s">
        <v>66</v>
      </c>
      <c r="E520">
        <v>27133</v>
      </c>
      <c r="F520">
        <v>3.31</v>
      </c>
      <c r="G520" t="s">
        <v>67</v>
      </c>
      <c r="H520" t="e">
        <f t="shared" si="16"/>
        <v>#VALUE!</v>
      </c>
      <c r="I520" t="str">
        <f t="shared" si="17"/>
        <v>-</v>
      </c>
    </row>
    <row r="521" spans="1:9" x14ac:dyDescent="0.2">
      <c r="A521">
        <v>178796</v>
      </c>
      <c r="B521" t="s">
        <v>68</v>
      </c>
      <c r="C521" t="s">
        <v>8</v>
      </c>
      <c r="D521" t="s">
        <v>69</v>
      </c>
      <c r="E521" t="s">
        <v>18</v>
      </c>
      <c r="F521" t="s">
        <v>18</v>
      </c>
      <c r="G521" t="s">
        <v>18</v>
      </c>
      <c r="H521" t="e">
        <f t="shared" si="16"/>
        <v>#VALUE!</v>
      </c>
      <c r="I521" t="str">
        <f t="shared" si="17"/>
        <v>-</v>
      </c>
    </row>
    <row r="522" spans="1:9" x14ac:dyDescent="0.2">
      <c r="A522">
        <v>178998</v>
      </c>
      <c r="B522" t="s">
        <v>7</v>
      </c>
      <c r="C522" t="s">
        <v>8</v>
      </c>
      <c r="D522" t="s">
        <v>9</v>
      </c>
      <c r="E522">
        <v>163</v>
      </c>
      <c r="F522">
        <v>103</v>
      </c>
      <c r="G522" t="s">
        <v>10</v>
      </c>
      <c r="H522" t="e">
        <f t="shared" si="16"/>
        <v>#VALUE!</v>
      </c>
      <c r="I522" t="str">
        <f t="shared" si="17"/>
        <v>-</v>
      </c>
    </row>
    <row r="523" spans="1:9" x14ac:dyDescent="0.2">
      <c r="A523">
        <v>179190</v>
      </c>
      <c r="B523" t="s">
        <v>11</v>
      </c>
      <c r="C523" t="s">
        <v>8</v>
      </c>
      <c r="D523" t="s">
        <v>12</v>
      </c>
      <c r="E523">
        <v>201</v>
      </c>
      <c r="F523">
        <v>102.75</v>
      </c>
      <c r="G523" t="s">
        <v>10</v>
      </c>
      <c r="H523" t="e">
        <f t="shared" si="16"/>
        <v>#VALUE!</v>
      </c>
      <c r="I523" t="str">
        <f t="shared" si="17"/>
        <v>-</v>
      </c>
    </row>
    <row r="524" spans="1:9" x14ac:dyDescent="0.2">
      <c r="A524">
        <v>179402</v>
      </c>
      <c r="B524" t="s">
        <v>13</v>
      </c>
      <c r="C524" t="s">
        <v>8</v>
      </c>
      <c r="D524" t="s">
        <v>14</v>
      </c>
      <c r="E524">
        <v>25902</v>
      </c>
      <c r="F524">
        <v>1011.8</v>
      </c>
      <c r="G524" t="s">
        <v>15</v>
      </c>
      <c r="H524" t="str">
        <f t="shared" si="16"/>
        <v>PSI</v>
      </c>
      <c r="I524">
        <f t="shared" si="17"/>
        <v>14.674918303542567</v>
      </c>
    </row>
    <row r="525" spans="1:9" x14ac:dyDescent="0.2">
      <c r="A525">
        <v>179784</v>
      </c>
      <c r="B525" t="s">
        <v>16</v>
      </c>
      <c r="C525" t="s">
        <v>8</v>
      </c>
      <c r="D525" t="s">
        <v>17</v>
      </c>
      <c r="E525" t="s">
        <v>18</v>
      </c>
      <c r="F525" t="s">
        <v>18</v>
      </c>
      <c r="G525" t="s">
        <v>18</v>
      </c>
      <c r="H525" t="e">
        <f t="shared" si="16"/>
        <v>#VALUE!</v>
      </c>
      <c r="I525" t="str">
        <f t="shared" si="17"/>
        <v>-</v>
      </c>
    </row>
    <row r="526" spans="1:9" x14ac:dyDescent="0.2">
      <c r="A526">
        <v>179996</v>
      </c>
      <c r="B526" t="s">
        <v>19</v>
      </c>
      <c r="C526" t="s">
        <v>8</v>
      </c>
      <c r="D526" t="s">
        <v>20</v>
      </c>
      <c r="E526">
        <v>13165</v>
      </c>
      <c r="F526">
        <v>1028.52</v>
      </c>
      <c r="G526" t="s">
        <v>15</v>
      </c>
      <c r="H526" t="str">
        <f t="shared" si="16"/>
        <v>PSI</v>
      </c>
      <c r="I526">
        <f t="shared" si="17"/>
        <v>14.917421401027477</v>
      </c>
    </row>
    <row r="527" spans="1:9" x14ac:dyDescent="0.2">
      <c r="A527">
        <v>180208</v>
      </c>
      <c r="B527" t="s">
        <v>21</v>
      </c>
      <c r="C527" t="s">
        <v>8</v>
      </c>
      <c r="D527" t="s">
        <v>22</v>
      </c>
      <c r="E527">
        <v>7689</v>
      </c>
      <c r="F527">
        <v>1922.25</v>
      </c>
      <c r="G527" t="s">
        <v>23</v>
      </c>
      <c r="H527" t="e">
        <f t="shared" si="16"/>
        <v>#VALUE!</v>
      </c>
      <c r="I527" t="str">
        <f t="shared" si="17"/>
        <v>-</v>
      </c>
    </row>
    <row r="528" spans="1:9" x14ac:dyDescent="0.2">
      <c r="A528">
        <v>180400</v>
      </c>
      <c r="B528" t="s">
        <v>24</v>
      </c>
      <c r="C528" t="s">
        <v>8</v>
      </c>
      <c r="D528" t="s">
        <v>25</v>
      </c>
      <c r="E528">
        <v>3</v>
      </c>
      <c r="F528">
        <v>3</v>
      </c>
      <c r="G528" t="s">
        <v>26</v>
      </c>
      <c r="H528" t="e">
        <f t="shared" si="16"/>
        <v>#VALUE!</v>
      </c>
      <c r="I528" t="str">
        <f t="shared" si="17"/>
        <v>-</v>
      </c>
    </row>
    <row r="529" spans="1:9" x14ac:dyDescent="0.2">
      <c r="A529">
        <v>180623</v>
      </c>
      <c r="B529" t="s">
        <v>27</v>
      </c>
      <c r="C529" t="s">
        <v>8</v>
      </c>
      <c r="D529" t="s">
        <v>28</v>
      </c>
      <c r="E529">
        <v>602</v>
      </c>
      <c r="F529">
        <v>14.14</v>
      </c>
      <c r="G529" t="s">
        <v>29</v>
      </c>
      <c r="H529" t="e">
        <f t="shared" si="16"/>
        <v>#VALUE!</v>
      </c>
      <c r="I529" t="str">
        <f t="shared" si="17"/>
        <v>-</v>
      </c>
    </row>
    <row r="530" spans="1:9" x14ac:dyDescent="0.2">
      <c r="A530">
        <v>180835</v>
      </c>
      <c r="B530" t="s">
        <v>30</v>
      </c>
      <c r="C530" t="s">
        <v>8</v>
      </c>
      <c r="D530" t="s">
        <v>31</v>
      </c>
      <c r="E530">
        <v>2970</v>
      </c>
      <c r="F530">
        <v>2970</v>
      </c>
      <c r="G530" t="s">
        <v>15</v>
      </c>
      <c r="H530" t="str">
        <f t="shared" si="16"/>
        <v>PSI</v>
      </c>
      <c r="I530">
        <f t="shared" si="17"/>
        <v>43.076208105872134</v>
      </c>
    </row>
    <row r="531" spans="1:9" x14ac:dyDescent="0.2">
      <c r="A531">
        <v>181047</v>
      </c>
      <c r="B531" t="s">
        <v>32</v>
      </c>
      <c r="C531" t="s">
        <v>8</v>
      </c>
      <c r="D531" t="s">
        <v>33</v>
      </c>
      <c r="E531">
        <v>17</v>
      </c>
      <c r="F531">
        <v>0</v>
      </c>
      <c r="G531" t="s">
        <v>26</v>
      </c>
      <c r="H531" t="e">
        <f t="shared" si="16"/>
        <v>#VALUE!</v>
      </c>
      <c r="I531" t="str">
        <f t="shared" si="17"/>
        <v>-</v>
      </c>
    </row>
    <row r="532" spans="1:9" x14ac:dyDescent="0.2">
      <c r="A532">
        <v>181259</v>
      </c>
      <c r="B532" t="s">
        <v>34</v>
      </c>
      <c r="C532" t="s">
        <v>8</v>
      </c>
      <c r="D532" t="s">
        <v>35</v>
      </c>
      <c r="E532">
        <v>4125</v>
      </c>
      <c r="F532">
        <v>1.01</v>
      </c>
      <c r="G532" t="s">
        <v>26</v>
      </c>
      <c r="H532" t="e">
        <f t="shared" si="16"/>
        <v>#VALUE!</v>
      </c>
      <c r="I532" t="str">
        <f t="shared" si="17"/>
        <v>-</v>
      </c>
    </row>
    <row r="533" spans="1:9" x14ac:dyDescent="0.2">
      <c r="A533">
        <v>181631</v>
      </c>
      <c r="B533" t="s">
        <v>36</v>
      </c>
      <c r="C533" t="s">
        <v>8</v>
      </c>
      <c r="D533" t="s">
        <v>37</v>
      </c>
      <c r="E533" t="s">
        <v>18</v>
      </c>
      <c r="F533" t="s">
        <v>18</v>
      </c>
      <c r="G533" t="s">
        <v>18</v>
      </c>
      <c r="H533" t="e">
        <f t="shared" si="16"/>
        <v>#VALUE!</v>
      </c>
      <c r="I533" t="str">
        <f t="shared" si="17"/>
        <v>-</v>
      </c>
    </row>
    <row r="534" spans="1:9" x14ac:dyDescent="0.2">
      <c r="A534">
        <v>182013</v>
      </c>
      <c r="B534" t="s">
        <v>38</v>
      </c>
      <c r="C534" t="s">
        <v>8</v>
      </c>
      <c r="D534" t="s">
        <v>39</v>
      </c>
      <c r="E534" t="s">
        <v>18</v>
      </c>
      <c r="F534" t="s">
        <v>18</v>
      </c>
      <c r="G534" t="s">
        <v>18</v>
      </c>
      <c r="H534" t="e">
        <f t="shared" si="16"/>
        <v>#VALUE!</v>
      </c>
      <c r="I534" t="str">
        <f t="shared" si="17"/>
        <v>-</v>
      </c>
    </row>
    <row r="535" spans="1:9" x14ac:dyDescent="0.2">
      <c r="A535">
        <v>182395</v>
      </c>
      <c r="B535" t="s">
        <v>40</v>
      </c>
      <c r="C535" t="s">
        <v>8</v>
      </c>
      <c r="D535" t="s">
        <v>41</v>
      </c>
      <c r="E535" t="s">
        <v>18</v>
      </c>
      <c r="F535" t="s">
        <v>18</v>
      </c>
      <c r="G535" t="s">
        <v>18</v>
      </c>
      <c r="H535" t="e">
        <f t="shared" si="16"/>
        <v>#VALUE!</v>
      </c>
      <c r="I535" t="str">
        <f t="shared" si="17"/>
        <v>-</v>
      </c>
    </row>
    <row r="536" spans="1:9" x14ac:dyDescent="0.2">
      <c r="A536">
        <v>182607</v>
      </c>
      <c r="B536" t="s">
        <v>42</v>
      </c>
      <c r="C536" t="s">
        <v>8</v>
      </c>
      <c r="D536" t="s">
        <v>43</v>
      </c>
      <c r="E536">
        <v>11241</v>
      </c>
      <c r="F536">
        <v>5.62</v>
      </c>
      <c r="G536" t="s">
        <v>44</v>
      </c>
      <c r="H536" t="str">
        <f t="shared" si="16"/>
        <v>PSI</v>
      </c>
      <c r="I536">
        <f t="shared" si="17"/>
        <v>815.11208604377578</v>
      </c>
    </row>
    <row r="537" spans="1:9" x14ac:dyDescent="0.2">
      <c r="A537">
        <v>182799</v>
      </c>
      <c r="B537" t="s">
        <v>45</v>
      </c>
      <c r="C537" t="s">
        <v>8</v>
      </c>
      <c r="D537" t="s">
        <v>46</v>
      </c>
      <c r="E537">
        <v>1</v>
      </c>
      <c r="F537">
        <v>1</v>
      </c>
      <c r="G537" t="s">
        <v>15</v>
      </c>
      <c r="H537" t="str">
        <f t="shared" si="16"/>
        <v>PSI</v>
      </c>
      <c r="I537">
        <f t="shared" si="17"/>
        <v>1.4503773773020921E-2</v>
      </c>
    </row>
    <row r="538" spans="1:9" x14ac:dyDescent="0.2">
      <c r="A538">
        <v>183011</v>
      </c>
      <c r="B538" t="s">
        <v>47</v>
      </c>
      <c r="C538" t="s">
        <v>8</v>
      </c>
      <c r="D538" t="s">
        <v>48</v>
      </c>
      <c r="E538">
        <v>1489</v>
      </c>
      <c r="F538">
        <v>148.9</v>
      </c>
      <c r="G538" t="s">
        <v>49</v>
      </c>
      <c r="H538" t="e">
        <f t="shared" si="16"/>
        <v>#VALUE!</v>
      </c>
      <c r="I538" t="str">
        <f t="shared" si="17"/>
        <v>-</v>
      </c>
    </row>
    <row r="539" spans="1:9" x14ac:dyDescent="0.2">
      <c r="A539">
        <v>183224</v>
      </c>
      <c r="B539" t="s">
        <v>50</v>
      </c>
      <c r="C539" t="s">
        <v>8</v>
      </c>
      <c r="D539" t="s">
        <v>51</v>
      </c>
      <c r="E539">
        <v>24244</v>
      </c>
      <c r="F539">
        <v>947.03</v>
      </c>
      <c r="G539" t="s">
        <v>15</v>
      </c>
      <c r="H539" t="str">
        <f t="shared" si="16"/>
        <v>PSI</v>
      </c>
      <c r="I539">
        <f t="shared" si="17"/>
        <v>13.735508876264003</v>
      </c>
    </row>
    <row r="540" spans="1:9" x14ac:dyDescent="0.2">
      <c r="A540">
        <v>183416</v>
      </c>
      <c r="B540" t="s">
        <v>52</v>
      </c>
      <c r="C540" t="s">
        <v>8</v>
      </c>
      <c r="D540" t="s">
        <v>53</v>
      </c>
      <c r="E540">
        <v>99</v>
      </c>
      <c r="F540">
        <v>26.25</v>
      </c>
      <c r="G540" t="s">
        <v>10</v>
      </c>
      <c r="H540" t="e">
        <f t="shared" si="16"/>
        <v>#VALUE!</v>
      </c>
      <c r="I540" t="str">
        <f t="shared" si="17"/>
        <v>-</v>
      </c>
    </row>
    <row r="541" spans="1:9" x14ac:dyDescent="0.2">
      <c r="A541">
        <v>183608</v>
      </c>
      <c r="B541" t="s">
        <v>54</v>
      </c>
      <c r="C541" t="s">
        <v>8</v>
      </c>
      <c r="D541" t="s">
        <v>55</v>
      </c>
      <c r="E541">
        <v>3</v>
      </c>
      <c r="F541">
        <v>12</v>
      </c>
      <c r="G541" t="s">
        <v>56</v>
      </c>
      <c r="H541" t="e">
        <f t="shared" si="16"/>
        <v>#VALUE!</v>
      </c>
      <c r="I541" t="str">
        <f t="shared" si="17"/>
        <v>-</v>
      </c>
    </row>
    <row r="542" spans="1:9" x14ac:dyDescent="0.2">
      <c r="A542">
        <v>183980</v>
      </c>
      <c r="B542" t="s">
        <v>57</v>
      </c>
      <c r="C542" t="s">
        <v>8</v>
      </c>
      <c r="D542" t="s">
        <v>58</v>
      </c>
      <c r="E542" t="s">
        <v>18</v>
      </c>
      <c r="F542" t="s">
        <v>18</v>
      </c>
      <c r="G542" t="s">
        <v>18</v>
      </c>
      <c r="H542" t="e">
        <f t="shared" si="16"/>
        <v>#VALUE!</v>
      </c>
      <c r="I542" t="str">
        <f t="shared" si="17"/>
        <v>-</v>
      </c>
    </row>
    <row r="543" spans="1:9" x14ac:dyDescent="0.2">
      <c r="A543">
        <v>184362</v>
      </c>
      <c r="B543" t="s">
        <v>59</v>
      </c>
      <c r="C543" t="s">
        <v>8</v>
      </c>
      <c r="D543" t="s">
        <v>60</v>
      </c>
      <c r="E543" t="s">
        <v>18</v>
      </c>
      <c r="F543" t="s">
        <v>18</v>
      </c>
      <c r="G543" t="s">
        <v>18</v>
      </c>
      <c r="H543" t="e">
        <f t="shared" si="16"/>
        <v>#VALUE!</v>
      </c>
      <c r="I543" t="str">
        <f t="shared" si="17"/>
        <v>-</v>
      </c>
    </row>
    <row r="544" spans="1:9" x14ac:dyDescent="0.2">
      <c r="A544">
        <v>184744</v>
      </c>
      <c r="B544" t="s">
        <v>61</v>
      </c>
      <c r="C544" t="s">
        <v>8</v>
      </c>
      <c r="D544" t="s">
        <v>62</v>
      </c>
      <c r="E544" t="s">
        <v>18</v>
      </c>
      <c r="F544" t="s">
        <v>18</v>
      </c>
      <c r="G544" t="s">
        <v>18</v>
      </c>
      <c r="H544" t="e">
        <f t="shared" si="16"/>
        <v>#VALUE!</v>
      </c>
      <c r="I544" t="str">
        <f t="shared" si="17"/>
        <v>-</v>
      </c>
    </row>
    <row r="545" spans="1:9" x14ac:dyDescent="0.2">
      <c r="A545">
        <v>185126</v>
      </c>
      <c r="B545" t="s">
        <v>63</v>
      </c>
      <c r="C545" t="s">
        <v>8</v>
      </c>
      <c r="D545" t="s">
        <v>64</v>
      </c>
      <c r="E545" t="s">
        <v>18</v>
      </c>
      <c r="F545" t="s">
        <v>18</v>
      </c>
      <c r="G545" t="s">
        <v>18</v>
      </c>
      <c r="H545" t="e">
        <f t="shared" si="16"/>
        <v>#VALUE!</v>
      </c>
      <c r="I545" t="str">
        <f t="shared" si="17"/>
        <v>-</v>
      </c>
    </row>
    <row r="546" spans="1:9" x14ac:dyDescent="0.2">
      <c r="A546">
        <v>185388</v>
      </c>
      <c r="B546" t="s">
        <v>65</v>
      </c>
      <c r="C546" t="s">
        <v>8</v>
      </c>
      <c r="D546" t="s">
        <v>66</v>
      </c>
      <c r="E546">
        <v>27151</v>
      </c>
      <c r="F546">
        <v>3.31</v>
      </c>
      <c r="G546" t="s">
        <v>67</v>
      </c>
      <c r="H546" t="e">
        <f t="shared" si="16"/>
        <v>#VALUE!</v>
      </c>
      <c r="I546" t="str">
        <f t="shared" si="17"/>
        <v>-</v>
      </c>
    </row>
    <row r="547" spans="1:9" x14ac:dyDescent="0.2">
      <c r="A547">
        <v>185760</v>
      </c>
      <c r="B547" t="s">
        <v>68</v>
      </c>
      <c r="C547" t="s">
        <v>8</v>
      </c>
      <c r="D547" t="s">
        <v>69</v>
      </c>
      <c r="E547" t="s">
        <v>18</v>
      </c>
      <c r="F547" t="s">
        <v>18</v>
      </c>
      <c r="G547" t="s">
        <v>18</v>
      </c>
      <c r="H547" t="e">
        <f t="shared" si="16"/>
        <v>#VALUE!</v>
      </c>
      <c r="I547" t="str">
        <f t="shared" si="17"/>
        <v>-</v>
      </c>
    </row>
    <row r="548" spans="1:9" x14ac:dyDescent="0.2">
      <c r="A548">
        <v>185952</v>
      </c>
      <c r="B548" t="s">
        <v>7</v>
      </c>
      <c r="C548" t="s">
        <v>8</v>
      </c>
      <c r="D548" t="s">
        <v>9</v>
      </c>
      <c r="E548">
        <v>163</v>
      </c>
      <c r="F548">
        <v>103</v>
      </c>
      <c r="G548" t="s">
        <v>10</v>
      </c>
      <c r="H548" t="e">
        <f t="shared" si="16"/>
        <v>#VALUE!</v>
      </c>
      <c r="I548" t="str">
        <f t="shared" si="17"/>
        <v>-</v>
      </c>
    </row>
    <row r="549" spans="1:9" x14ac:dyDescent="0.2">
      <c r="A549">
        <v>186144</v>
      </c>
      <c r="B549" t="s">
        <v>11</v>
      </c>
      <c r="C549" t="s">
        <v>8</v>
      </c>
      <c r="D549" t="s">
        <v>12</v>
      </c>
      <c r="E549">
        <v>202</v>
      </c>
      <c r="F549">
        <v>103.5</v>
      </c>
      <c r="G549" t="s">
        <v>10</v>
      </c>
      <c r="H549" t="e">
        <f t="shared" si="16"/>
        <v>#VALUE!</v>
      </c>
      <c r="I549" t="str">
        <f t="shared" si="17"/>
        <v>-</v>
      </c>
    </row>
    <row r="550" spans="1:9" x14ac:dyDescent="0.2">
      <c r="A550">
        <v>186356</v>
      </c>
      <c r="B550" t="s">
        <v>13</v>
      </c>
      <c r="C550" t="s">
        <v>8</v>
      </c>
      <c r="D550" t="s">
        <v>14</v>
      </c>
      <c r="E550">
        <v>25902</v>
      </c>
      <c r="F550">
        <v>1011.8</v>
      </c>
      <c r="G550" t="s">
        <v>15</v>
      </c>
      <c r="H550" t="str">
        <f t="shared" si="16"/>
        <v>PSI</v>
      </c>
      <c r="I550">
        <f t="shared" si="17"/>
        <v>14.674918303542567</v>
      </c>
    </row>
    <row r="551" spans="1:9" x14ac:dyDescent="0.2">
      <c r="A551">
        <v>186728</v>
      </c>
      <c r="B551" t="s">
        <v>16</v>
      </c>
      <c r="C551" t="s">
        <v>8</v>
      </c>
      <c r="D551" t="s">
        <v>17</v>
      </c>
      <c r="E551" t="s">
        <v>18</v>
      </c>
      <c r="F551" t="s">
        <v>18</v>
      </c>
      <c r="G551" t="s">
        <v>18</v>
      </c>
      <c r="H551" t="e">
        <f t="shared" si="16"/>
        <v>#VALUE!</v>
      </c>
      <c r="I551" t="str">
        <f t="shared" si="17"/>
        <v>-</v>
      </c>
    </row>
    <row r="552" spans="1:9" x14ac:dyDescent="0.2">
      <c r="A552">
        <v>186940</v>
      </c>
      <c r="B552" t="s">
        <v>19</v>
      </c>
      <c r="C552" t="s">
        <v>8</v>
      </c>
      <c r="D552" t="s">
        <v>20</v>
      </c>
      <c r="E552">
        <v>13085</v>
      </c>
      <c r="F552">
        <v>1022.27</v>
      </c>
      <c r="G552" t="s">
        <v>15</v>
      </c>
      <c r="H552" t="str">
        <f t="shared" si="16"/>
        <v>PSI</v>
      </c>
      <c r="I552">
        <f t="shared" si="17"/>
        <v>14.826772814946096</v>
      </c>
    </row>
    <row r="553" spans="1:9" x14ac:dyDescent="0.2">
      <c r="A553">
        <v>187143</v>
      </c>
      <c r="B553" t="s">
        <v>21</v>
      </c>
      <c r="C553" t="s">
        <v>8</v>
      </c>
      <c r="D553" t="s">
        <v>22</v>
      </c>
      <c r="E553">
        <v>5711</v>
      </c>
      <c r="F553">
        <v>1427.75</v>
      </c>
      <c r="G553" t="s">
        <v>23</v>
      </c>
      <c r="H553" t="e">
        <f t="shared" si="16"/>
        <v>#VALUE!</v>
      </c>
      <c r="I553" t="str">
        <f t="shared" si="17"/>
        <v>-</v>
      </c>
    </row>
    <row r="554" spans="1:9" x14ac:dyDescent="0.2">
      <c r="A554">
        <v>187335</v>
      </c>
      <c r="B554" t="s">
        <v>24</v>
      </c>
      <c r="C554" t="s">
        <v>8</v>
      </c>
      <c r="D554" t="s">
        <v>25</v>
      </c>
      <c r="E554">
        <v>4</v>
      </c>
      <c r="F554">
        <v>4</v>
      </c>
      <c r="G554" t="s">
        <v>26</v>
      </c>
      <c r="H554" t="e">
        <f t="shared" si="16"/>
        <v>#VALUE!</v>
      </c>
      <c r="I554" t="str">
        <f t="shared" si="17"/>
        <v>-</v>
      </c>
    </row>
    <row r="555" spans="1:9" x14ac:dyDescent="0.2">
      <c r="A555">
        <v>187548</v>
      </c>
      <c r="B555" t="s">
        <v>27</v>
      </c>
      <c r="C555" t="s">
        <v>8</v>
      </c>
      <c r="D555" t="s">
        <v>28</v>
      </c>
      <c r="E555">
        <v>601</v>
      </c>
      <c r="F555">
        <v>14.11</v>
      </c>
      <c r="G555" t="s">
        <v>29</v>
      </c>
      <c r="H555" t="e">
        <f t="shared" si="16"/>
        <v>#VALUE!</v>
      </c>
      <c r="I555" t="str">
        <f t="shared" si="17"/>
        <v>-</v>
      </c>
    </row>
    <row r="556" spans="1:9" x14ac:dyDescent="0.2">
      <c r="A556">
        <v>187760</v>
      </c>
      <c r="B556" t="s">
        <v>30</v>
      </c>
      <c r="C556" t="s">
        <v>8</v>
      </c>
      <c r="D556" t="s">
        <v>31</v>
      </c>
      <c r="E556">
        <v>2918</v>
      </c>
      <c r="F556">
        <v>2918</v>
      </c>
      <c r="G556" t="s">
        <v>15</v>
      </c>
      <c r="H556" t="str">
        <f t="shared" si="16"/>
        <v>PSI</v>
      </c>
      <c r="I556">
        <f t="shared" si="17"/>
        <v>42.322011869675045</v>
      </c>
    </row>
    <row r="557" spans="1:9" x14ac:dyDescent="0.2">
      <c r="A557">
        <v>187962</v>
      </c>
      <c r="B557" t="s">
        <v>32</v>
      </c>
      <c r="C557" t="s">
        <v>8</v>
      </c>
      <c r="D557" t="s">
        <v>33</v>
      </c>
      <c r="E557">
        <v>65536</v>
      </c>
      <c r="F557">
        <v>16</v>
      </c>
      <c r="G557" t="s">
        <v>26</v>
      </c>
      <c r="H557" t="e">
        <f t="shared" si="16"/>
        <v>#VALUE!</v>
      </c>
      <c r="I557" t="str">
        <f t="shared" si="17"/>
        <v>-</v>
      </c>
    </row>
    <row r="558" spans="1:9" x14ac:dyDescent="0.2">
      <c r="A558">
        <v>188164</v>
      </c>
      <c r="B558" t="s">
        <v>34</v>
      </c>
      <c r="C558" t="s">
        <v>8</v>
      </c>
      <c r="D558" t="s">
        <v>35</v>
      </c>
      <c r="E558">
        <v>65299</v>
      </c>
      <c r="F558">
        <v>15.94</v>
      </c>
      <c r="G558" t="s">
        <v>26</v>
      </c>
      <c r="H558" t="e">
        <f t="shared" si="16"/>
        <v>#VALUE!</v>
      </c>
      <c r="I558" t="str">
        <f t="shared" si="17"/>
        <v>-</v>
      </c>
    </row>
    <row r="559" spans="1:9" x14ac:dyDescent="0.2">
      <c r="A559">
        <v>188546</v>
      </c>
      <c r="B559" t="s">
        <v>36</v>
      </c>
      <c r="C559" t="s">
        <v>8</v>
      </c>
      <c r="D559" t="s">
        <v>37</v>
      </c>
      <c r="E559" t="s">
        <v>18</v>
      </c>
      <c r="F559" t="s">
        <v>18</v>
      </c>
      <c r="G559" t="s">
        <v>18</v>
      </c>
      <c r="H559" t="e">
        <f t="shared" si="16"/>
        <v>#VALUE!</v>
      </c>
      <c r="I559" t="str">
        <f t="shared" si="17"/>
        <v>-</v>
      </c>
    </row>
    <row r="560" spans="1:9" x14ac:dyDescent="0.2">
      <c r="A560">
        <v>188928</v>
      </c>
      <c r="B560" t="s">
        <v>38</v>
      </c>
      <c r="C560" t="s">
        <v>8</v>
      </c>
      <c r="D560" t="s">
        <v>39</v>
      </c>
      <c r="E560" t="s">
        <v>18</v>
      </c>
      <c r="F560" t="s">
        <v>18</v>
      </c>
      <c r="G560" t="s">
        <v>18</v>
      </c>
      <c r="H560" t="e">
        <f t="shared" si="16"/>
        <v>#VALUE!</v>
      </c>
      <c r="I560" t="str">
        <f t="shared" si="17"/>
        <v>-</v>
      </c>
    </row>
    <row r="561" spans="1:9" x14ac:dyDescent="0.2">
      <c r="A561">
        <v>189310</v>
      </c>
      <c r="B561" t="s">
        <v>40</v>
      </c>
      <c r="C561" t="s">
        <v>8</v>
      </c>
      <c r="D561" t="s">
        <v>41</v>
      </c>
      <c r="E561" t="s">
        <v>18</v>
      </c>
      <c r="F561" t="s">
        <v>18</v>
      </c>
      <c r="G561" t="s">
        <v>18</v>
      </c>
      <c r="H561" t="e">
        <f t="shared" si="16"/>
        <v>#VALUE!</v>
      </c>
      <c r="I561" t="str">
        <f t="shared" si="17"/>
        <v>-</v>
      </c>
    </row>
    <row r="562" spans="1:9" x14ac:dyDescent="0.2">
      <c r="A562">
        <v>189512</v>
      </c>
      <c r="B562" t="s">
        <v>42</v>
      </c>
      <c r="C562" t="s">
        <v>8</v>
      </c>
      <c r="D562" t="s">
        <v>43</v>
      </c>
      <c r="E562">
        <v>6598</v>
      </c>
      <c r="F562">
        <v>3.3</v>
      </c>
      <c r="G562" t="s">
        <v>44</v>
      </c>
      <c r="H562" t="str">
        <f t="shared" si="16"/>
        <v>PSI</v>
      </c>
      <c r="I562">
        <f t="shared" si="17"/>
        <v>478.62453450969036</v>
      </c>
    </row>
    <row r="563" spans="1:9" x14ac:dyDescent="0.2">
      <c r="A563">
        <v>189704</v>
      </c>
      <c r="B563" t="s">
        <v>45</v>
      </c>
      <c r="C563" t="s">
        <v>8</v>
      </c>
      <c r="D563" t="s">
        <v>46</v>
      </c>
      <c r="E563">
        <v>1</v>
      </c>
      <c r="F563">
        <v>1</v>
      </c>
      <c r="G563" t="s">
        <v>15</v>
      </c>
      <c r="H563" t="str">
        <f t="shared" si="16"/>
        <v>PSI</v>
      </c>
      <c r="I563">
        <f t="shared" si="17"/>
        <v>1.4503773773020921E-2</v>
      </c>
    </row>
    <row r="564" spans="1:9" x14ac:dyDescent="0.2">
      <c r="A564">
        <v>189916</v>
      </c>
      <c r="B564" t="s">
        <v>47</v>
      </c>
      <c r="C564" t="s">
        <v>8</v>
      </c>
      <c r="D564" t="s">
        <v>48</v>
      </c>
      <c r="E564">
        <v>1558</v>
      </c>
      <c r="F564">
        <v>155.80000000000001</v>
      </c>
      <c r="G564" t="s">
        <v>49</v>
      </c>
      <c r="H564" t="e">
        <f t="shared" si="16"/>
        <v>#VALUE!</v>
      </c>
      <c r="I564" t="str">
        <f t="shared" si="17"/>
        <v>-</v>
      </c>
    </row>
    <row r="565" spans="1:9" x14ac:dyDescent="0.2">
      <c r="A565">
        <v>190128</v>
      </c>
      <c r="B565" t="s">
        <v>50</v>
      </c>
      <c r="C565" t="s">
        <v>8</v>
      </c>
      <c r="D565" t="s">
        <v>51</v>
      </c>
      <c r="E565">
        <v>24602</v>
      </c>
      <c r="F565">
        <v>961.02</v>
      </c>
      <c r="G565" t="s">
        <v>15</v>
      </c>
      <c r="H565" t="str">
        <f t="shared" si="16"/>
        <v>PSI</v>
      </c>
      <c r="I565">
        <f t="shared" si="17"/>
        <v>13.938416671348564</v>
      </c>
    </row>
    <row r="566" spans="1:9" x14ac:dyDescent="0.2">
      <c r="A566">
        <v>190320</v>
      </c>
      <c r="B566" t="s">
        <v>52</v>
      </c>
      <c r="C566" t="s">
        <v>8</v>
      </c>
      <c r="D566" t="s">
        <v>53</v>
      </c>
      <c r="E566">
        <v>99</v>
      </c>
      <c r="F566">
        <v>26.25</v>
      </c>
      <c r="G566" t="s">
        <v>10</v>
      </c>
      <c r="H566" t="e">
        <f t="shared" si="16"/>
        <v>#VALUE!</v>
      </c>
      <c r="I566" t="str">
        <f t="shared" si="17"/>
        <v>-</v>
      </c>
    </row>
    <row r="567" spans="1:9" x14ac:dyDescent="0.2">
      <c r="A567">
        <v>190522</v>
      </c>
      <c r="B567" t="s">
        <v>54</v>
      </c>
      <c r="C567" t="s">
        <v>8</v>
      </c>
      <c r="D567" t="s">
        <v>55</v>
      </c>
      <c r="E567">
        <v>4</v>
      </c>
      <c r="F567">
        <v>16</v>
      </c>
      <c r="G567" t="s">
        <v>56</v>
      </c>
      <c r="H567" t="e">
        <f t="shared" si="16"/>
        <v>#VALUE!</v>
      </c>
      <c r="I567" t="str">
        <f t="shared" si="17"/>
        <v>-</v>
      </c>
    </row>
    <row r="568" spans="1:9" x14ac:dyDescent="0.2">
      <c r="A568">
        <v>190904</v>
      </c>
      <c r="B568" t="s">
        <v>57</v>
      </c>
      <c r="C568" t="s">
        <v>8</v>
      </c>
      <c r="D568" t="s">
        <v>58</v>
      </c>
      <c r="E568" t="s">
        <v>18</v>
      </c>
      <c r="F568" t="s">
        <v>18</v>
      </c>
      <c r="G568" t="s">
        <v>18</v>
      </c>
      <c r="H568" t="e">
        <f t="shared" si="16"/>
        <v>#VALUE!</v>
      </c>
      <c r="I568" t="str">
        <f t="shared" si="17"/>
        <v>-</v>
      </c>
    </row>
    <row r="569" spans="1:9" x14ac:dyDescent="0.2">
      <c r="A569">
        <v>191276</v>
      </c>
      <c r="B569" t="s">
        <v>59</v>
      </c>
      <c r="C569" t="s">
        <v>8</v>
      </c>
      <c r="D569" t="s">
        <v>60</v>
      </c>
      <c r="E569" t="s">
        <v>18</v>
      </c>
      <c r="F569" t="s">
        <v>18</v>
      </c>
      <c r="G569" t="s">
        <v>18</v>
      </c>
      <c r="H569" t="e">
        <f t="shared" si="16"/>
        <v>#VALUE!</v>
      </c>
      <c r="I569" t="str">
        <f t="shared" si="17"/>
        <v>-</v>
      </c>
    </row>
    <row r="570" spans="1:9" x14ac:dyDescent="0.2">
      <c r="A570">
        <v>191648</v>
      </c>
      <c r="B570" t="s">
        <v>61</v>
      </c>
      <c r="C570" t="s">
        <v>8</v>
      </c>
      <c r="D570" t="s">
        <v>62</v>
      </c>
      <c r="E570" t="s">
        <v>18</v>
      </c>
      <c r="F570" t="s">
        <v>18</v>
      </c>
      <c r="G570" t="s">
        <v>18</v>
      </c>
      <c r="H570" t="e">
        <f t="shared" si="16"/>
        <v>#VALUE!</v>
      </c>
      <c r="I570" t="str">
        <f t="shared" si="17"/>
        <v>-</v>
      </c>
    </row>
    <row r="571" spans="1:9" x14ac:dyDescent="0.2">
      <c r="A571">
        <v>192030</v>
      </c>
      <c r="B571" t="s">
        <v>63</v>
      </c>
      <c r="C571" t="s">
        <v>8</v>
      </c>
      <c r="D571" t="s">
        <v>64</v>
      </c>
      <c r="E571" t="s">
        <v>18</v>
      </c>
      <c r="F571" t="s">
        <v>18</v>
      </c>
      <c r="G571" t="s">
        <v>18</v>
      </c>
      <c r="H571" t="e">
        <f t="shared" si="16"/>
        <v>#VALUE!</v>
      </c>
      <c r="I571" t="str">
        <f t="shared" si="17"/>
        <v>-</v>
      </c>
    </row>
    <row r="572" spans="1:9" x14ac:dyDescent="0.2">
      <c r="A572">
        <v>192282</v>
      </c>
      <c r="B572" t="s">
        <v>65</v>
      </c>
      <c r="C572" t="s">
        <v>8</v>
      </c>
      <c r="D572" t="s">
        <v>66</v>
      </c>
      <c r="E572">
        <v>27151</v>
      </c>
      <c r="F572">
        <v>3.31</v>
      </c>
      <c r="G572" t="s">
        <v>67</v>
      </c>
      <c r="H572" t="e">
        <f t="shared" si="16"/>
        <v>#VALUE!</v>
      </c>
      <c r="I572" t="str">
        <f t="shared" si="17"/>
        <v>-</v>
      </c>
    </row>
    <row r="573" spans="1:9" x14ac:dyDescent="0.2">
      <c r="A573">
        <v>192664</v>
      </c>
      <c r="B573" t="s">
        <v>68</v>
      </c>
      <c r="C573" t="s">
        <v>8</v>
      </c>
      <c r="D573" t="s">
        <v>69</v>
      </c>
      <c r="E573" t="s">
        <v>18</v>
      </c>
      <c r="F573" t="s">
        <v>18</v>
      </c>
      <c r="G573" t="s">
        <v>18</v>
      </c>
      <c r="H573" t="e">
        <f t="shared" si="16"/>
        <v>#VALUE!</v>
      </c>
      <c r="I573" t="str">
        <f t="shared" si="17"/>
        <v>-</v>
      </c>
    </row>
    <row r="574" spans="1:9" x14ac:dyDescent="0.2">
      <c r="A574">
        <v>192866</v>
      </c>
      <c r="B574" t="s">
        <v>7</v>
      </c>
      <c r="C574" t="s">
        <v>8</v>
      </c>
      <c r="D574" t="s">
        <v>9</v>
      </c>
      <c r="E574">
        <v>162</v>
      </c>
      <c r="F574">
        <v>102</v>
      </c>
      <c r="G574" t="s">
        <v>10</v>
      </c>
      <c r="H574" t="e">
        <f t="shared" si="16"/>
        <v>#VALUE!</v>
      </c>
      <c r="I574" t="str">
        <f t="shared" si="17"/>
        <v>-</v>
      </c>
    </row>
    <row r="575" spans="1:9" x14ac:dyDescent="0.2">
      <c r="A575">
        <v>193058</v>
      </c>
      <c r="B575" t="s">
        <v>11</v>
      </c>
      <c r="C575" t="s">
        <v>8</v>
      </c>
      <c r="D575" t="s">
        <v>12</v>
      </c>
      <c r="E575">
        <v>203</v>
      </c>
      <c r="F575">
        <v>104.25</v>
      </c>
      <c r="G575" t="s">
        <v>10</v>
      </c>
      <c r="H575" t="e">
        <f t="shared" si="16"/>
        <v>#VALUE!</v>
      </c>
      <c r="I575" t="str">
        <f t="shared" si="17"/>
        <v>-</v>
      </c>
    </row>
    <row r="576" spans="1:9" x14ac:dyDescent="0.2">
      <c r="A576">
        <v>193271</v>
      </c>
      <c r="B576" t="s">
        <v>13</v>
      </c>
      <c r="C576" t="s">
        <v>8</v>
      </c>
      <c r="D576" t="s">
        <v>14</v>
      </c>
      <c r="E576">
        <v>25934</v>
      </c>
      <c r="F576">
        <v>1013.05</v>
      </c>
      <c r="G576" t="s">
        <v>15</v>
      </c>
      <c r="H576" t="str">
        <f t="shared" si="16"/>
        <v>PSI</v>
      </c>
      <c r="I576">
        <f t="shared" si="17"/>
        <v>14.693048020758845</v>
      </c>
    </row>
    <row r="577" spans="1:9" x14ac:dyDescent="0.2">
      <c r="A577">
        <v>193653</v>
      </c>
      <c r="B577" t="s">
        <v>16</v>
      </c>
      <c r="C577" t="s">
        <v>8</v>
      </c>
      <c r="D577" t="s">
        <v>17</v>
      </c>
      <c r="E577" t="s">
        <v>18</v>
      </c>
      <c r="F577" t="s">
        <v>18</v>
      </c>
      <c r="G577" t="s">
        <v>18</v>
      </c>
      <c r="H577" t="e">
        <f t="shared" si="16"/>
        <v>#VALUE!</v>
      </c>
      <c r="I577" t="str">
        <f t="shared" si="17"/>
        <v>-</v>
      </c>
    </row>
    <row r="578" spans="1:9" x14ac:dyDescent="0.2">
      <c r="A578">
        <v>193865</v>
      </c>
      <c r="B578" t="s">
        <v>19</v>
      </c>
      <c r="C578" t="s">
        <v>8</v>
      </c>
      <c r="D578" t="s">
        <v>20</v>
      </c>
      <c r="E578">
        <v>13291</v>
      </c>
      <c r="F578">
        <v>1038.3599999999999</v>
      </c>
      <c r="G578" t="s">
        <v>15</v>
      </c>
      <c r="H578" t="str">
        <f t="shared" si="16"/>
        <v>PSI</v>
      </c>
      <c r="I578">
        <f t="shared" si="17"/>
        <v>15.060138534954001</v>
      </c>
    </row>
    <row r="579" spans="1:9" x14ac:dyDescent="0.2">
      <c r="A579">
        <v>194077</v>
      </c>
      <c r="B579" t="s">
        <v>21</v>
      </c>
      <c r="C579" t="s">
        <v>8</v>
      </c>
      <c r="D579" t="s">
        <v>22</v>
      </c>
      <c r="E579">
        <v>7993</v>
      </c>
      <c r="F579">
        <v>1998.25</v>
      </c>
      <c r="G579" t="s">
        <v>23</v>
      </c>
      <c r="H579" t="e">
        <f t="shared" ref="H579:H642" si="18">IF(FIND("Pa",G579,1),"PSI","-")</f>
        <v>#VALUE!</v>
      </c>
      <c r="I579" t="str">
        <f t="shared" ref="I579:I642" si="19">IF(G579="hPa",CONVERT(F579*100,"Pa","psi"), IF(G579="MPa",CONVERT(F579*1000000,"Pa","psi"),"-"))</f>
        <v>-</v>
      </c>
    </row>
    <row r="580" spans="1:9" x14ac:dyDescent="0.2">
      <c r="A580">
        <v>194269</v>
      </c>
      <c r="B580" t="s">
        <v>24</v>
      </c>
      <c r="C580" t="s">
        <v>8</v>
      </c>
      <c r="D580" t="s">
        <v>25</v>
      </c>
      <c r="E580">
        <v>4</v>
      </c>
      <c r="F580">
        <v>4</v>
      </c>
      <c r="G580" t="s">
        <v>26</v>
      </c>
      <c r="H580" t="e">
        <f t="shared" si="18"/>
        <v>#VALUE!</v>
      </c>
      <c r="I580" t="str">
        <f t="shared" si="19"/>
        <v>-</v>
      </c>
    </row>
    <row r="581" spans="1:9" x14ac:dyDescent="0.2">
      <c r="A581">
        <v>194471</v>
      </c>
      <c r="B581" t="s">
        <v>27</v>
      </c>
      <c r="C581" t="s">
        <v>8</v>
      </c>
      <c r="D581" t="s">
        <v>28</v>
      </c>
      <c r="E581">
        <v>600</v>
      </c>
      <c r="F581">
        <v>14.09</v>
      </c>
      <c r="G581" t="s">
        <v>29</v>
      </c>
      <c r="H581" t="e">
        <f t="shared" si="18"/>
        <v>#VALUE!</v>
      </c>
      <c r="I581" t="str">
        <f t="shared" si="19"/>
        <v>-</v>
      </c>
    </row>
    <row r="582" spans="1:9" x14ac:dyDescent="0.2">
      <c r="A582">
        <v>194673</v>
      </c>
      <c r="B582" t="s">
        <v>30</v>
      </c>
      <c r="C582" t="s">
        <v>8</v>
      </c>
      <c r="D582" t="s">
        <v>31</v>
      </c>
      <c r="E582">
        <v>2891</v>
      </c>
      <c r="F582">
        <v>2891</v>
      </c>
      <c r="G582" t="s">
        <v>15</v>
      </c>
      <c r="H582" t="str">
        <f t="shared" si="18"/>
        <v>PSI</v>
      </c>
      <c r="I582">
        <f t="shared" si="19"/>
        <v>41.930409977803485</v>
      </c>
    </row>
    <row r="583" spans="1:9" x14ac:dyDescent="0.2">
      <c r="A583">
        <v>194895</v>
      </c>
      <c r="B583" t="s">
        <v>32</v>
      </c>
      <c r="C583" t="s">
        <v>8</v>
      </c>
      <c r="D583" t="s">
        <v>33</v>
      </c>
      <c r="E583">
        <v>65536</v>
      </c>
      <c r="F583">
        <v>16</v>
      </c>
      <c r="G583" t="s">
        <v>26</v>
      </c>
      <c r="H583" t="e">
        <f t="shared" si="18"/>
        <v>#VALUE!</v>
      </c>
      <c r="I583" t="str">
        <f t="shared" si="19"/>
        <v>-</v>
      </c>
    </row>
    <row r="584" spans="1:9" x14ac:dyDescent="0.2">
      <c r="A584">
        <v>195107</v>
      </c>
      <c r="B584" t="s">
        <v>34</v>
      </c>
      <c r="C584" t="s">
        <v>8</v>
      </c>
      <c r="D584" t="s">
        <v>35</v>
      </c>
      <c r="E584">
        <v>65299</v>
      </c>
      <c r="F584">
        <v>15.94</v>
      </c>
      <c r="G584" t="s">
        <v>26</v>
      </c>
      <c r="H584" t="e">
        <f t="shared" si="18"/>
        <v>#VALUE!</v>
      </c>
      <c r="I584" t="str">
        <f t="shared" si="19"/>
        <v>-</v>
      </c>
    </row>
    <row r="585" spans="1:9" x14ac:dyDescent="0.2">
      <c r="A585">
        <v>195489</v>
      </c>
      <c r="B585" t="s">
        <v>36</v>
      </c>
      <c r="C585" t="s">
        <v>8</v>
      </c>
      <c r="D585" t="s">
        <v>37</v>
      </c>
      <c r="E585" t="s">
        <v>18</v>
      </c>
      <c r="F585" t="s">
        <v>18</v>
      </c>
      <c r="G585" t="s">
        <v>18</v>
      </c>
      <c r="H585" t="e">
        <f t="shared" si="18"/>
        <v>#VALUE!</v>
      </c>
      <c r="I585" t="str">
        <f t="shared" si="19"/>
        <v>-</v>
      </c>
    </row>
    <row r="586" spans="1:9" x14ac:dyDescent="0.2">
      <c r="A586">
        <v>195871</v>
      </c>
      <c r="B586" t="s">
        <v>38</v>
      </c>
      <c r="C586" t="s">
        <v>8</v>
      </c>
      <c r="D586" t="s">
        <v>39</v>
      </c>
      <c r="E586" t="s">
        <v>18</v>
      </c>
      <c r="F586" t="s">
        <v>18</v>
      </c>
      <c r="G586" t="s">
        <v>18</v>
      </c>
      <c r="H586" t="e">
        <f t="shared" si="18"/>
        <v>#VALUE!</v>
      </c>
      <c r="I586" t="str">
        <f t="shared" si="19"/>
        <v>-</v>
      </c>
    </row>
    <row r="587" spans="1:9" x14ac:dyDescent="0.2">
      <c r="A587">
        <v>196253</v>
      </c>
      <c r="B587" t="s">
        <v>40</v>
      </c>
      <c r="C587" t="s">
        <v>8</v>
      </c>
      <c r="D587" t="s">
        <v>41</v>
      </c>
      <c r="E587" t="s">
        <v>18</v>
      </c>
      <c r="F587" t="s">
        <v>18</v>
      </c>
      <c r="G587" t="s">
        <v>18</v>
      </c>
      <c r="H587" t="e">
        <f t="shared" si="18"/>
        <v>#VALUE!</v>
      </c>
      <c r="I587" t="str">
        <f t="shared" si="19"/>
        <v>-</v>
      </c>
    </row>
    <row r="588" spans="1:9" x14ac:dyDescent="0.2">
      <c r="A588">
        <v>196465</v>
      </c>
      <c r="B588" t="s">
        <v>42</v>
      </c>
      <c r="C588" t="s">
        <v>8</v>
      </c>
      <c r="D588" t="s">
        <v>43</v>
      </c>
      <c r="E588">
        <v>10599</v>
      </c>
      <c r="F588">
        <v>5.3</v>
      </c>
      <c r="G588" t="s">
        <v>44</v>
      </c>
      <c r="H588" t="str">
        <f t="shared" si="18"/>
        <v>PSI</v>
      </c>
      <c r="I588">
        <f t="shared" si="19"/>
        <v>768.70000997010879</v>
      </c>
    </row>
    <row r="589" spans="1:9" x14ac:dyDescent="0.2">
      <c r="A589">
        <v>196658</v>
      </c>
      <c r="B589" t="s">
        <v>45</v>
      </c>
      <c r="C589" t="s">
        <v>8</v>
      </c>
      <c r="D589" t="s">
        <v>46</v>
      </c>
      <c r="E589">
        <v>1</v>
      </c>
      <c r="F589">
        <v>1</v>
      </c>
      <c r="G589" t="s">
        <v>15</v>
      </c>
      <c r="H589" t="str">
        <f t="shared" si="18"/>
        <v>PSI</v>
      </c>
      <c r="I589">
        <f t="shared" si="19"/>
        <v>1.4503773773020921E-2</v>
      </c>
    </row>
    <row r="590" spans="1:9" x14ac:dyDescent="0.2">
      <c r="A590">
        <v>196870</v>
      </c>
      <c r="B590" t="s">
        <v>47</v>
      </c>
      <c r="C590" t="s">
        <v>8</v>
      </c>
      <c r="D590" t="s">
        <v>48</v>
      </c>
      <c r="E590">
        <v>1628</v>
      </c>
      <c r="F590">
        <v>162.80000000000001</v>
      </c>
      <c r="G590" t="s">
        <v>49</v>
      </c>
      <c r="H590" t="e">
        <f t="shared" si="18"/>
        <v>#VALUE!</v>
      </c>
      <c r="I590" t="str">
        <f t="shared" si="19"/>
        <v>-</v>
      </c>
    </row>
    <row r="591" spans="1:9" x14ac:dyDescent="0.2">
      <c r="A591">
        <v>197082</v>
      </c>
      <c r="B591" t="s">
        <v>50</v>
      </c>
      <c r="C591" t="s">
        <v>8</v>
      </c>
      <c r="D591" t="s">
        <v>51</v>
      </c>
      <c r="E591">
        <v>24564</v>
      </c>
      <c r="F591">
        <v>959.53</v>
      </c>
      <c r="G591" t="s">
        <v>15</v>
      </c>
      <c r="H591" t="str">
        <f t="shared" si="18"/>
        <v>PSI</v>
      </c>
      <c r="I591">
        <f t="shared" si="19"/>
        <v>13.916806048426764</v>
      </c>
    </row>
    <row r="592" spans="1:9" x14ac:dyDescent="0.2">
      <c r="A592">
        <v>197264</v>
      </c>
      <c r="B592" t="s">
        <v>52</v>
      </c>
      <c r="C592" t="s">
        <v>8</v>
      </c>
      <c r="D592" t="s">
        <v>53</v>
      </c>
      <c r="E592">
        <v>99</v>
      </c>
      <c r="F592">
        <v>26.25</v>
      </c>
      <c r="G592" t="s">
        <v>10</v>
      </c>
      <c r="H592" t="e">
        <f t="shared" si="18"/>
        <v>#VALUE!</v>
      </c>
      <c r="I592" t="str">
        <f t="shared" si="19"/>
        <v>-</v>
      </c>
    </row>
    <row r="593" spans="1:9" x14ac:dyDescent="0.2">
      <c r="A593">
        <v>197456</v>
      </c>
      <c r="B593" t="s">
        <v>54</v>
      </c>
      <c r="C593" t="s">
        <v>8</v>
      </c>
      <c r="D593" t="s">
        <v>55</v>
      </c>
      <c r="E593">
        <v>5</v>
      </c>
      <c r="F593">
        <v>20</v>
      </c>
      <c r="G593" t="s">
        <v>56</v>
      </c>
      <c r="H593" t="e">
        <f t="shared" si="18"/>
        <v>#VALUE!</v>
      </c>
      <c r="I593" t="str">
        <f t="shared" si="19"/>
        <v>-</v>
      </c>
    </row>
    <row r="594" spans="1:9" x14ac:dyDescent="0.2">
      <c r="A594">
        <v>197838</v>
      </c>
      <c r="B594" t="s">
        <v>57</v>
      </c>
      <c r="C594" t="s">
        <v>8</v>
      </c>
      <c r="D594" t="s">
        <v>58</v>
      </c>
      <c r="E594" t="s">
        <v>18</v>
      </c>
      <c r="F594" t="s">
        <v>18</v>
      </c>
      <c r="G594" t="s">
        <v>18</v>
      </c>
      <c r="H594" t="e">
        <f t="shared" si="18"/>
        <v>#VALUE!</v>
      </c>
      <c r="I594" t="str">
        <f t="shared" si="19"/>
        <v>-</v>
      </c>
    </row>
    <row r="595" spans="1:9" x14ac:dyDescent="0.2">
      <c r="A595">
        <v>198210</v>
      </c>
      <c r="B595" t="s">
        <v>59</v>
      </c>
      <c r="C595" t="s">
        <v>8</v>
      </c>
      <c r="D595" t="s">
        <v>60</v>
      </c>
      <c r="E595" t="s">
        <v>18</v>
      </c>
      <c r="F595" t="s">
        <v>18</v>
      </c>
      <c r="G595" t="s">
        <v>18</v>
      </c>
      <c r="H595" t="e">
        <f t="shared" si="18"/>
        <v>#VALUE!</v>
      </c>
      <c r="I595" t="str">
        <f t="shared" si="19"/>
        <v>-</v>
      </c>
    </row>
    <row r="596" spans="1:9" x14ac:dyDescent="0.2">
      <c r="A596">
        <v>198592</v>
      </c>
      <c r="B596" t="s">
        <v>61</v>
      </c>
      <c r="C596" t="s">
        <v>8</v>
      </c>
      <c r="D596" t="s">
        <v>62</v>
      </c>
      <c r="E596" t="s">
        <v>18</v>
      </c>
      <c r="F596" t="s">
        <v>18</v>
      </c>
      <c r="G596" t="s">
        <v>18</v>
      </c>
      <c r="H596" t="e">
        <f t="shared" si="18"/>
        <v>#VALUE!</v>
      </c>
      <c r="I596" t="str">
        <f t="shared" si="19"/>
        <v>-</v>
      </c>
    </row>
    <row r="597" spans="1:9" x14ac:dyDescent="0.2">
      <c r="A597">
        <v>198974</v>
      </c>
      <c r="B597" t="s">
        <v>63</v>
      </c>
      <c r="C597" t="s">
        <v>8</v>
      </c>
      <c r="D597" t="s">
        <v>64</v>
      </c>
      <c r="E597" t="s">
        <v>18</v>
      </c>
      <c r="F597" t="s">
        <v>18</v>
      </c>
      <c r="G597" t="s">
        <v>18</v>
      </c>
      <c r="H597" t="e">
        <f t="shared" si="18"/>
        <v>#VALUE!</v>
      </c>
      <c r="I597" t="str">
        <f t="shared" si="19"/>
        <v>-</v>
      </c>
    </row>
    <row r="598" spans="1:9" x14ac:dyDescent="0.2">
      <c r="A598">
        <v>199226</v>
      </c>
      <c r="B598" t="s">
        <v>65</v>
      </c>
      <c r="C598" t="s">
        <v>8</v>
      </c>
      <c r="D598" t="s">
        <v>66</v>
      </c>
      <c r="E598">
        <v>27151</v>
      </c>
      <c r="F598">
        <v>3.31</v>
      </c>
      <c r="G598" t="s">
        <v>67</v>
      </c>
      <c r="H598" t="e">
        <f t="shared" si="18"/>
        <v>#VALUE!</v>
      </c>
      <c r="I598" t="str">
        <f t="shared" si="19"/>
        <v>-</v>
      </c>
    </row>
    <row r="599" spans="1:9" x14ac:dyDescent="0.2">
      <c r="A599">
        <v>199608</v>
      </c>
      <c r="B599" t="s">
        <v>68</v>
      </c>
      <c r="C599" t="s">
        <v>8</v>
      </c>
      <c r="D599" t="s">
        <v>69</v>
      </c>
      <c r="E599" t="s">
        <v>18</v>
      </c>
      <c r="F599" t="s">
        <v>18</v>
      </c>
      <c r="G599" t="s">
        <v>18</v>
      </c>
      <c r="H599" t="e">
        <f t="shared" si="18"/>
        <v>#VALUE!</v>
      </c>
      <c r="I599" t="str">
        <f t="shared" si="19"/>
        <v>-</v>
      </c>
    </row>
    <row r="600" spans="1:9" x14ac:dyDescent="0.2">
      <c r="A600">
        <v>199810</v>
      </c>
      <c r="B600" t="s">
        <v>7</v>
      </c>
      <c r="C600" t="s">
        <v>8</v>
      </c>
      <c r="D600" t="s">
        <v>9</v>
      </c>
      <c r="E600">
        <v>163</v>
      </c>
      <c r="F600">
        <v>103</v>
      </c>
      <c r="G600" t="s">
        <v>10</v>
      </c>
      <c r="H600" t="e">
        <f t="shared" si="18"/>
        <v>#VALUE!</v>
      </c>
      <c r="I600" t="str">
        <f t="shared" si="19"/>
        <v>-</v>
      </c>
    </row>
    <row r="601" spans="1:9" x14ac:dyDescent="0.2">
      <c r="A601">
        <v>200002</v>
      </c>
      <c r="B601" t="s">
        <v>11</v>
      </c>
      <c r="C601" t="s">
        <v>8</v>
      </c>
      <c r="D601" t="s">
        <v>12</v>
      </c>
      <c r="E601">
        <v>204</v>
      </c>
      <c r="F601">
        <v>105</v>
      </c>
      <c r="G601" t="s">
        <v>10</v>
      </c>
      <c r="H601" t="e">
        <f t="shared" si="18"/>
        <v>#VALUE!</v>
      </c>
      <c r="I601" t="str">
        <f t="shared" si="19"/>
        <v>-</v>
      </c>
    </row>
    <row r="602" spans="1:9" x14ac:dyDescent="0.2">
      <c r="A602">
        <v>200214</v>
      </c>
      <c r="B602" t="s">
        <v>13</v>
      </c>
      <c r="C602" t="s">
        <v>8</v>
      </c>
      <c r="D602" t="s">
        <v>14</v>
      </c>
      <c r="E602">
        <v>25965</v>
      </c>
      <c r="F602">
        <v>1014.26</v>
      </c>
      <c r="G602" t="s">
        <v>15</v>
      </c>
      <c r="H602" t="str">
        <f t="shared" si="18"/>
        <v>PSI</v>
      </c>
      <c r="I602">
        <f t="shared" si="19"/>
        <v>14.7105975870242</v>
      </c>
    </row>
    <row r="603" spans="1:9" x14ac:dyDescent="0.2">
      <c r="A603">
        <v>200596</v>
      </c>
      <c r="B603" t="s">
        <v>16</v>
      </c>
      <c r="C603" t="s">
        <v>8</v>
      </c>
      <c r="D603" t="s">
        <v>17</v>
      </c>
      <c r="E603" t="s">
        <v>18</v>
      </c>
      <c r="F603" t="s">
        <v>18</v>
      </c>
      <c r="G603" t="s">
        <v>18</v>
      </c>
      <c r="H603" t="e">
        <f t="shared" si="18"/>
        <v>#VALUE!</v>
      </c>
      <c r="I603" t="str">
        <f t="shared" si="19"/>
        <v>-</v>
      </c>
    </row>
    <row r="604" spans="1:9" x14ac:dyDescent="0.2">
      <c r="A604">
        <v>200808</v>
      </c>
      <c r="B604" t="s">
        <v>19</v>
      </c>
      <c r="C604" t="s">
        <v>8</v>
      </c>
      <c r="D604" t="s">
        <v>20</v>
      </c>
      <c r="E604">
        <v>13421</v>
      </c>
      <c r="F604">
        <v>1048.52</v>
      </c>
      <c r="G604" t="s">
        <v>15</v>
      </c>
      <c r="H604" t="str">
        <f t="shared" si="18"/>
        <v>PSI</v>
      </c>
      <c r="I604">
        <f t="shared" si="19"/>
        <v>15.207496876487896</v>
      </c>
    </row>
    <row r="605" spans="1:9" x14ac:dyDescent="0.2">
      <c r="A605">
        <v>201020</v>
      </c>
      <c r="B605" t="s">
        <v>21</v>
      </c>
      <c r="C605" t="s">
        <v>8</v>
      </c>
      <c r="D605" t="s">
        <v>22</v>
      </c>
      <c r="E605">
        <v>9959</v>
      </c>
      <c r="F605">
        <v>2489.75</v>
      </c>
      <c r="G605" t="s">
        <v>23</v>
      </c>
      <c r="H605" t="e">
        <f t="shared" si="18"/>
        <v>#VALUE!</v>
      </c>
      <c r="I605" t="str">
        <f t="shared" si="19"/>
        <v>-</v>
      </c>
    </row>
    <row r="606" spans="1:9" x14ac:dyDescent="0.2">
      <c r="A606">
        <v>201202</v>
      </c>
      <c r="B606" t="s">
        <v>24</v>
      </c>
      <c r="C606" t="s">
        <v>8</v>
      </c>
      <c r="D606" t="s">
        <v>25</v>
      </c>
      <c r="E606">
        <v>4</v>
      </c>
      <c r="F606">
        <v>4</v>
      </c>
      <c r="G606" t="s">
        <v>26</v>
      </c>
      <c r="H606" t="e">
        <f t="shared" si="18"/>
        <v>#VALUE!</v>
      </c>
      <c r="I606" t="str">
        <f t="shared" si="19"/>
        <v>-</v>
      </c>
    </row>
    <row r="607" spans="1:9" x14ac:dyDescent="0.2">
      <c r="A607">
        <v>201424</v>
      </c>
      <c r="B607" t="s">
        <v>27</v>
      </c>
      <c r="C607" t="s">
        <v>8</v>
      </c>
      <c r="D607" t="s">
        <v>28</v>
      </c>
      <c r="E607">
        <v>602</v>
      </c>
      <c r="F607">
        <v>14.14</v>
      </c>
      <c r="G607" t="s">
        <v>29</v>
      </c>
      <c r="H607" t="e">
        <f t="shared" si="18"/>
        <v>#VALUE!</v>
      </c>
      <c r="I607" t="str">
        <f t="shared" si="19"/>
        <v>-</v>
      </c>
    </row>
    <row r="608" spans="1:9" x14ac:dyDescent="0.2">
      <c r="A608">
        <v>201636</v>
      </c>
      <c r="B608" t="s">
        <v>30</v>
      </c>
      <c r="C608" t="s">
        <v>8</v>
      </c>
      <c r="D608" t="s">
        <v>31</v>
      </c>
      <c r="E608">
        <v>2993</v>
      </c>
      <c r="F608">
        <v>2993</v>
      </c>
      <c r="G608" t="s">
        <v>15</v>
      </c>
      <c r="H608" t="str">
        <f t="shared" si="18"/>
        <v>PSI</v>
      </c>
      <c r="I608">
        <f t="shared" si="19"/>
        <v>43.409794902651619</v>
      </c>
    </row>
    <row r="609" spans="1:9" x14ac:dyDescent="0.2">
      <c r="A609">
        <v>201848</v>
      </c>
      <c r="B609" t="s">
        <v>32</v>
      </c>
      <c r="C609" t="s">
        <v>8</v>
      </c>
      <c r="D609" t="s">
        <v>33</v>
      </c>
      <c r="E609">
        <v>65536</v>
      </c>
      <c r="F609">
        <v>16</v>
      </c>
      <c r="G609" t="s">
        <v>26</v>
      </c>
      <c r="H609" t="e">
        <f t="shared" si="18"/>
        <v>#VALUE!</v>
      </c>
      <c r="I609" t="str">
        <f t="shared" si="19"/>
        <v>-</v>
      </c>
    </row>
    <row r="610" spans="1:9" x14ac:dyDescent="0.2">
      <c r="A610">
        <v>202061</v>
      </c>
      <c r="B610" t="s">
        <v>34</v>
      </c>
      <c r="C610" t="s">
        <v>8</v>
      </c>
      <c r="D610" t="s">
        <v>35</v>
      </c>
      <c r="E610">
        <v>65299</v>
      </c>
      <c r="F610">
        <v>15.94</v>
      </c>
      <c r="G610" t="s">
        <v>26</v>
      </c>
      <c r="H610" t="e">
        <f t="shared" si="18"/>
        <v>#VALUE!</v>
      </c>
      <c r="I610" t="str">
        <f t="shared" si="19"/>
        <v>-</v>
      </c>
    </row>
    <row r="611" spans="1:9" x14ac:dyDescent="0.2">
      <c r="A611">
        <v>202443</v>
      </c>
      <c r="B611" t="s">
        <v>36</v>
      </c>
      <c r="C611" t="s">
        <v>8</v>
      </c>
      <c r="D611" t="s">
        <v>37</v>
      </c>
      <c r="E611" t="s">
        <v>18</v>
      </c>
      <c r="F611" t="s">
        <v>18</v>
      </c>
      <c r="G611" t="s">
        <v>18</v>
      </c>
      <c r="H611" t="e">
        <f t="shared" si="18"/>
        <v>#VALUE!</v>
      </c>
      <c r="I611" t="str">
        <f t="shared" si="19"/>
        <v>-</v>
      </c>
    </row>
    <row r="612" spans="1:9" x14ac:dyDescent="0.2">
      <c r="A612">
        <v>202825</v>
      </c>
      <c r="B612" t="s">
        <v>38</v>
      </c>
      <c r="C612" t="s">
        <v>8</v>
      </c>
      <c r="D612" t="s">
        <v>39</v>
      </c>
      <c r="E612" t="s">
        <v>18</v>
      </c>
      <c r="F612" t="s">
        <v>18</v>
      </c>
      <c r="G612" t="s">
        <v>18</v>
      </c>
      <c r="H612" t="e">
        <f t="shared" si="18"/>
        <v>#VALUE!</v>
      </c>
      <c r="I612" t="str">
        <f t="shared" si="19"/>
        <v>-</v>
      </c>
    </row>
    <row r="613" spans="1:9" x14ac:dyDescent="0.2">
      <c r="A613">
        <v>203207</v>
      </c>
      <c r="B613" t="s">
        <v>40</v>
      </c>
      <c r="C613" t="s">
        <v>8</v>
      </c>
      <c r="D613" t="s">
        <v>41</v>
      </c>
      <c r="E613" t="s">
        <v>18</v>
      </c>
      <c r="F613" t="s">
        <v>18</v>
      </c>
      <c r="G613" t="s">
        <v>18</v>
      </c>
      <c r="H613" t="e">
        <f t="shared" si="18"/>
        <v>#VALUE!</v>
      </c>
      <c r="I613" t="str">
        <f t="shared" si="19"/>
        <v>-</v>
      </c>
    </row>
    <row r="614" spans="1:9" x14ac:dyDescent="0.2">
      <c r="A614">
        <v>203419</v>
      </c>
      <c r="B614" t="s">
        <v>42</v>
      </c>
      <c r="C614" t="s">
        <v>8</v>
      </c>
      <c r="D614" t="s">
        <v>43</v>
      </c>
      <c r="E614">
        <v>11116</v>
      </c>
      <c r="F614">
        <v>5.56</v>
      </c>
      <c r="G614" t="s">
        <v>44</v>
      </c>
      <c r="H614" t="str">
        <f t="shared" si="18"/>
        <v>PSI</v>
      </c>
      <c r="I614">
        <f t="shared" si="19"/>
        <v>806.40982177996318</v>
      </c>
    </row>
    <row r="615" spans="1:9" x14ac:dyDescent="0.2">
      <c r="A615">
        <v>203611</v>
      </c>
      <c r="B615" t="s">
        <v>45</v>
      </c>
      <c r="C615" t="s">
        <v>8</v>
      </c>
      <c r="D615" t="s">
        <v>46</v>
      </c>
      <c r="E615">
        <v>1</v>
      </c>
      <c r="F615">
        <v>1</v>
      </c>
      <c r="G615" t="s">
        <v>15</v>
      </c>
      <c r="H615" t="str">
        <f t="shared" si="18"/>
        <v>PSI</v>
      </c>
      <c r="I615">
        <f t="shared" si="19"/>
        <v>1.4503773773020921E-2</v>
      </c>
    </row>
    <row r="616" spans="1:9" x14ac:dyDescent="0.2">
      <c r="A616">
        <v>203823</v>
      </c>
      <c r="B616" t="s">
        <v>47</v>
      </c>
      <c r="C616" t="s">
        <v>8</v>
      </c>
      <c r="D616" t="s">
        <v>48</v>
      </c>
      <c r="E616">
        <v>1697</v>
      </c>
      <c r="F616">
        <v>169.7</v>
      </c>
      <c r="G616" t="s">
        <v>49</v>
      </c>
      <c r="H616" t="e">
        <f t="shared" si="18"/>
        <v>#VALUE!</v>
      </c>
      <c r="I616" t="str">
        <f t="shared" si="19"/>
        <v>-</v>
      </c>
    </row>
    <row r="617" spans="1:9" x14ac:dyDescent="0.2">
      <c r="A617">
        <v>204035</v>
      </c>
      <c r="B617" t="s">
        <v>50</v>
      </c>
      <c r="C617" t="s">
        <v>8</v>
      </c>
      <c r="D617" t="s">
        <v>51</v>
      </c>
      <c r="E617">
        <v>24564</v>
      </c>
      <c r="F617">
        <v>959.53</v>
      </c>
      <c r="G617" t="s">
        <v>15</v>
      </c>
      <c r="H617" t="str">
        <f t="shared" si="18"/>
        <v>PSI</v>
      </c>
      <c r="I617">
        <f t="shared" si="19"/>
        <v>13.916806048426764</v>
      </c>
    </row>
    <row r="618" spans="1:9" x14ac:dyDescent="0.2">
      <c r="A618">
        <v>204227</v>
      </c>
      <c r="B618" t="s">
        <v>52</v>
      </c>
      <c r="C618" t="s">
        <v>8</v>
      </c>
      <c r="D618" t="s">
        <v>53</v>
      </c>
      <c r="E618">
        <v>98</v>
      </c>
      <c r="F618">
        <v>25.5</v>
      </c>
      <c r="G618" t="s">
        <v>10</v>
      </c>
      <c r="H618" t="e">
        <f t="shared" si="18"/>
        <v>#VALUE!</v>
      </c>
      <c r="I618" t="str">
        <f t="shared" si="19"/>
        <v>-</v>
      </c>
    </row>
    <row r="619" spans="1:9" x14ac:dyDescent="0.2">
      <c r="A619">
        <v>204419</v>
      </c>
      <c r="B619" t="s">
        <v>54</v>
      </c>
      <c r="C619" t="s">
        <v>8</v>
      </c>
      <c r="D619" t="s">
        <v>55</v>
      </c>
      <c r="E619">
        <v>5</v>
      </c>
      <c r="F619">
        <v>20</v>
      </c>
      <c r="G619" t="s">
        <v>56</v>
      </c>
      <c r="H619" t="e">
        <f t="shared" si="18"/>
        <v>#VALUE!</v>
      </c>
      <c r="I619" t="str">
        <f t="shared" si="19"/>
        <v>-</v>
      </c>
    </row>
    <row r="620" spans="1:9" x14ac:dyDescent="0.2">
      <c r="A620">
        <v>204801</v>
      </c>
      <c r="B620" t="s">
        <v>57</v>
      </c>
      <c r="C620" t="s">
        <v>8</v>
      </c>
      <c r="D620" t="s">
        <v>58</v>
      </c>
      <c r="E620" t="s">
        <v>18</v>
      </c>
      <c r="F620" t="s">
        <v>18</v>
      </c>
      <c r="G620" t="s">
        <v>18</v>
      </c>
      <c r="H620" t="e">
        <f t="shared" si="18"/>
        <v>#VALUE!</v>
      </c>
      <c r="I620" t="str">
        <f t="shared" si="19"/>
        <v>-</v>
      </c>
    </row>
    <row r="621" spans="1:9" x14ac:dyDescent="0.2">
      <c r="A621">
        <v>205183</v>
      </c>
      <c r="B621" t="s">
        <v>59</v>
      </c>
      <c r="C621" t="s">
        <v>8</v>
      </c>
      <c r="D621" t="s">
        <v>60</v>
      </c>
      <c r="E621" t="s">
        <v>18</v>
      </c>
      <c r="F621" t="s">
        <v>18</v>
      </c>
      <c r="G621" t="s">
        <v>18</v>
      </c>
      <c r="H621" t="e">
        <f t="shared" si="18"/>
        <v>#VALUE!</v>
      </c>
      <c r="I621" t="str">
        <f t="shared" si="19"/>
        <v>-</v>
      </c>
    </row>
    <row r="622" spans="1:9" x14ac:dyDescent="0.2">
      <c r="A622">
        <v>205565</v>
      </c>
      <c r="B622" t="s">
        <v>61</v>
      </c>
      <c r="C622" t="s">
        <v>8</v>
      </c>
      <c r="D622" t="s">
        <v>62</v>
      </c>
      <c r="E622" t="s">
        <v>18</v>
      </c>
      <c r="F622" t="s">
        <v>18</v>
      </c>
      <c r="G622" t="s">
        <v>18</v>
      </c>
      <c r="H622" t="e">
        <f t="shared" si="18"/>
        <v>#VALUE!</v>
      </c>
      <c r="I622" t="str">
        <f t="shared" si="19"/>
        <v>-</v>
      </c>
    </row>
    <row r="623" spans="1:9" x14ac:dyDescent="0.2">
      <c r="A623">
        <v>205937</v>
      </c>
      <c r="B623" t="s">
        <v>63</v>
      </c>
      <c r="C623" t="s">
        <v>8</v>
      </c>
      <c r="D623" t="s">
        <v>64</v>
      </c>
      <c r="E623" t="s">
        <v>18</v>
      </c>
      <c r="F623" t="s">
        <v>18</v>
      </c>
      <c r="G623" t="s">
        <v>18</v>
      </c>
      <c r="H623" t="e">
        <f t="shared" si="18"/>
        <v>#VALUE!</v>
      </c>
      <c r="I623" t="str">
        <f t="shared" si="19"/>
        <v>-</v>
      </c>
    </row>
    <row r="624" spans="1:9" x14ac:dyDescent="0.2">
      <c r="A624">
        <v>206189</v>
      </c>
      <c r="B624" t="s">
        <v>65</v>
      </c>
      <c r="C624" t="s">
        <v>8</v>
      </c>
      <c r="D624" t="s">
        <v>66</v>
      </c>
      <c r="E624">
        <v>27151</v>
      </c>
      <c r="F624">
        <v>3.31</v>
      </c>
      <c r="G624" t="s">
        <v>67</v>
      </c>
      <c r="H624" t="e">
        <f t="shared" si="18"/>
        <v>#VALUE!</v>
      </c>
      <c r="I624" t="str">
        <f t="shared" si="19"/>
        <v>-</v>
      </c>
    </row>
    <row r="625" spans="1:9" x14ac:dyDescent="0.2">
      <c r="A625">
        <v>206571</v>
      </c>
      <c r="B625" t="s">
        <v>68</v>
      </c>
      <c r="C625" t="s">
        <v>8</v>
      </c>
      <c r="D625" t="s">
        <v>69</v>
      </c>
      <c r="E625" t="s">
        <v>18</v>
      </c>
      <c r="F625" t="s">
        <v>18</v>
      </c>
      <c r="G625" t="s">
        <v>18</v>
      </c>
      <c r="H625" t="e">
        <f t="shared" si="18"/>
        <v>#VALUE!</v>
      </c>
      <c r="I625" t="str">
        <f t="shared" si="19"/>
        <v>-</v>
      </c>
    </row>
    <row r="626" spans="1:9" x14ac:dyDescent="0.2">
      <c r="A626">
        <v>206763</v>
      </c>
      <c r="B626" t="s">
        <v>7</v>
      </c>
      <c r="C626" t="s">
        <v>8</v>
      </c>
      <c r="D626" t="s">
        <v>9</v>
      </c>
      <c r="E626">
        <v>163</v>
      </c>
      <c r="F626">
        <v>103</v>
      </c>
      <c r="G626" t="s">
        <v>10</v>
      </c>
      <c r="H626" t="e">
        <f t="shared" si="18"/>
        <v>#VALUE!</v>
      </c>
      <c r="I626" t="str">
        <f t="shared" si="19"/>
        <v>-</v>
      </c>
    </row>
    <row r="627" spans="1:9" x14ac:dyDescent="0.2">
      <c r="A627">
        <v>206955</v>
      </c>
      <c r="B627" t="s">
        <v>11</v>
      </c>
      <c r="C627" t="s">
        <v>8</v>
      </c>
      <c r="D627" t="s">
        <v>12</v>
      </c>
      <c r="E627">
        <v>203</v>
      </c>
      <c r="F627">
        <v>104.25</v>
      </c>
      <c r="G627" t="s">
        <v>10</v>
      </c>
      <c r="H627" t="e">
        <f t="shared" si="18"/>
        <v>#VALUE!</v>
      </c>
      <c r="I627" t="str">
        <f t="shared" si="19"/>
        <v>-</v>
      </c>
    </row>
    <row r="628" spans="1:9" x14ac:dyDescent="0.2">
      <c r="A628">
        <v>207167</v>
      </c>
      <c r="B628" t="s">
        <v>13</v>
      </c>
      <c r="C628" t="s">
        <v>8</v>
      </c>
      <c r="D628" t="s">
        <v>14</v>
      </c>
      <c r="E628">
        <v>25997</v>
      </c>
      <c r="F628">
        <v>1015.51</v>
      </c>
      <c r="G628" t="s">
        <v>15</v>
      </c>
      <c r="H628" t="str">
        <f t="shared" si="18"/>
        <v>PSI</v>
      </c>
      <c r="I628">
        <f t="shared" si="19"/>
        <v>14.728727304240476</v>
      </c>
    </row>
    <row r="629" spans="1:9" x14ac:dyDescent="0.2">
      <c r="A629">
        <v>207539</v>
      </c>
      <c r="B629" t="s">
        <v>16</v>
      </c>
      <c r="C629" t="s">
        <v>8</v>
      </c>
      <c r="D629" t="s">
        <v>17</v>
      </c>
      <c r="E629" t="s">
        <v>18</v>
      </c>
      <c r="F629" t="s">
        <v>18</v>
      </c>
      <c r="G629" t="s">
        <v>18</v>
      </c>
      <c r="H629" t="e">
        <f t="shared" si="18"/>
        <v>#VALUE!</v>
      </c>
      <c r="I629" t="str">
        <f t="shared" si="19"/>
        <v>-</v>
      </c>
    </row>
    <row r="630" spans="1:9" x14ac:dyDescent="0.2">
      <c r="A630">
        <v>207751</v>
      </c>
      <c r="B630" t="s">
        <v>19</v>
      </c>
      <c r="C630" t="s">
        <v>8</v>
      </c>
      <c r="D630" t="s">
        <v>20</v>
      </c>
      <c r="E630">
        <v>13385</v>
      </c>
      <c r="F630">
        <v>1045.7</v>
      </c>
      <c r="G630" t="s">
        <v>15</v>
      </c>
      <c r="H630" t="str">
        <f t="shared" si="18"/>
        <v>PSI</v>
      </c>
      <c r="I630">
        <f t="shared" si="19"/>
        <v>15.166596234447978</v>
      </c>
    </row>
    <row r="631" spans="1:9" x14ac:dyDescent="0.2">
      <c r="A631">
        <v>207963</v>
      </c>
      <c r="B631" t="s">
        <v>21</v>
      </c>
      <c r="C631" t="s">
        <v>8</v>
      </c>
      <c r="D631" t="s">
        <v>22</v>
      </c>
      <c r="E631">
        <v>8457</v>
      </c>
      <c r="F631">
        <v>2114.25</v>
      </c>
      <c r="G631" t="s">
        <v>23</v>
      </c>
      <c r="H631" t="e">
        <f t="shared" si="18"/>
        <v>#VALUE!</v>
      </c>
      <c r="I631" t="str">
        <f t="shared" si="19"/>
        <v>-</v>
      </c>
    </row>
    <row r="632" spans="1:9" x14ac:dyDescent="0.2">
      <c r="A632">
        <v>208155</v>
      </c>
      <c r="B632" t="s">
        <v>24</v>
      </c>
      <c r="C632" t="s">
        <v>8</v>
      </c>
      <c r="D632" t="s">
        <v>25</v>
      </c>
      <c r="E632">
        <v>4</v>
      </c>
      <c r="F632">
        <v>4</v>
      </c>
      <c r="G632" t="s">
        <v>26</v>
      </c>
      <c r="H632" t="e">
        <f t="shared" si="18"/>
        <v>#VALUE!</v>
      </c>
      <c r="I632" t="str">
        <f t="shared" si="19"/>
        <v>-</v>
      </c>
    </row>
    <row r="633" spans="1:9" x14ac:dyDescent="0.2">
      <c r="A633">
        <v>208367</v>
      </c>
      <c r="B633" t="s">
        <v>27</v>
      </c>
      <c r="C633" t="s">
        <v>8</v>
      </c>
      <c r="D633" t="s">
        <v>28</v>
      </c>
      <c r="E633">
        <v>602</v>
      </c>
      <c r="F633">
        <v>14.14</v>
      </c>
      <c r="G633" t="s">
        <v>29</v>
      </c>
      <c r="H633" t="e">
        <f t="shared" si="18"/>
        <v>#VALUE!</v>
      </c>
      <c r="I633" t="str">
        <f t="shared" si="19"/>
        <v>-</v>
      </c>
    </row>
    <row r="634" spans="1:9" x14ac:dyDescent="0.2">
      <c r="A634">
        <v>208579</v>
      </c>
      <c r="B634" t="s">
        <v>30</v>
      </c>
      <c r="C634" t="s">
        <v>8</v>
      </c>
      <c r="D634" t="s">
        <v>31</v>
      </c>
      <c r="E634">
        <v>3018</v>
      </c>
      <c r="F634">
        <v>3018</v>
      </c>
      <c r="G634" t="s">
        <v>15</v>
      </c>
      <c r="H634" t="str">
        <f t="shared" si="18"/>
        <v>PSI</v>
      </c>
      <c r="I634">
        <f t="shared" si="19"/>
        <v>43.772389246977141</v>
      </c>
    </row>
    <row r="635" spans="1:9" x14ac:dyDescent="0.2">
      <c r="A635">
        <v>208791</v>
      </c>
      <c r="B635" t="s">
        <v>32</v>
      </c>
      <c r="C635" t="s">
        <v>8</v>
      </c>
      <c r="D635" t="s">
        <v>33</v>
      </c>
      <c r="E635">
        <v>65536</v>
      </c>
      <c r="F635">
        <v>16</v>
      </c>
      <c r="G635" t="s">
        <v>26</v>
      </c>
      <c r="H635" t="e">
        <f t="shared" si="18"/>
        <v>#VALUE!</v>
      </c>
      <c r="I635" t="str">
        <f t="shared" si="19"/>
        <v>-</v>
      </c>
    </row>
    <row r="636" spans="1:9" x14ac:dyDescent="0.2">
      <c r="A636">
        <v>209003</v>
      </c>
      <c r="B636" t="s">
        <v>34</v>
      </c>
      <c r="C636" t="s">
        <v>8</v>
      </c>
      <c r="D636" t="s">
        <v>35</v>
      </c>
      <c r="E636">
        <v>65299</v>
      </c>
      <c r="F636">
        <v>15.94</v>
      </c>
      <c r="G636" t="s">
        <v>26</v>
      </c>
      <c r="H636" t="e">
        <f t="shared" si="18"/>
        <v>#VALUE!</v>
      </c>
      <c r="I636" t="str">
        <f t="shared" si="19"/>
        <v>-</v>
      </c>
    </row>
    <row r="637" spans="1:9" x14ac:dyDescent="0.2">
      <c r="A637">
        <v>209385</v>
      </c>
      <c r="B637" t="s">
        <v>36</v>
      </c>
      <c r="C637" t="s">
        <v>8</v>
      </c>
      <c r="D637" t="s">
        <v>37</v>
      </c>
      <c r="E637" t="s">
        <v>18</v>
      </c>
      <c r="F637" t="s">
        <v>18</v>
      </c>
      <c r="G637" t="s">
        <v>18</v>
      </c>
      <c r="H637" t="e">
        <f t="shared" si="18"/>
        <v>#VALUE!</v>
      </c>
      <c r="I637" t="str">
        <f t="shared" si="19"/>
        <v>-</v>
      </c>
    </row>
    <row r="638" spans="1:9" x14ac:dyDescent="0.2">
      <c r="A638">
        <v>209767</v>
      </c>
      <c r="B638" t="s">
        <v>38</v>
      </c>
      <c r="C638" t="s">
        <v>8</v>
      </c>
      <c r="D638" t="s">
        <v>39</v>
      </c>
      <c r="E638" t="s">
        <v>18</v>
      </c>
      <c r="F638" t="s">
        <v>18</v>
      </c>
      <c r="G638" t="s">
        <v>18</v>
      </c>
      <c r="H638" t="e">
        <f t="shared" si="18"/>
        <v>#VALUE!</v>
      </c>
      <c r="I638" t="str">
        <f t="shared" si="19"/>
        <v>-</v>
      </c>
    </row>
    <row r="639" spans="1:9" x14ac:dyDescent="0.2">
      <c r="A639">
        <v>210149</v>
      </c>
      <c r="B639" t="s">
        <v>40</v>
      </c>
      <c r="C639" t="s">
        <v>8</v>
      </c>
      <c r="D639" t="s">
        <v>41</v>
      </c>
      <c r="E639" t="s">
        <v>18</v>
      </c>
      <c r="F639" t="s">
        <v>18</v>
      </c>
      <c r="G639" t="s">
        <v>18</v>
      </c>
      <c r="H639" t="e">
        <f t="shared" si="18"/>
        <v>#VALUE!</v>
      </c>
      <c r="I639" t="str">
        <f t="shared" si="19"/>
        <v>-</v>
      </c>
    </row>
    <row r="640" spans="1:9" x14ac:dyDescent="0.2">
      <c r="A640">
        <v>210361</v>
      </c>
      <c r="B640" t="s">
        <v>42</v>
      </c>
      <c r="C640" t="s">
        <v>8</v>
      </c>
      <c r="D640" t="s">
        <v>43</v>
      </c>
      <c r="E640">
        <v>10699</v>
      </c>
      <c r="F640">
        <v>5.35</v>
      </c>
      <c r="G640" t="s">
        <v>44</v>
      </c>
      <c r="H640" t="str">
        <f t="shared" si="18"/>
        <v>PSI</v>
      </c>
      <c r="I640">
        <f t="shared" si="19"/>
        <v>775.95189685661921</v>
      </c>
    </row>
    <row r="641" spans="1:9" x14ac:dyDescent="0.2">
      <c r="A641">
        <v>210543</v>
      </c>
      <c r="B641" t="s">
        <v>45</v>
      </c>
      <c r="C641" t="s">
        <v>8</v>
      </c>
      <c r="D641" t="s">
        <v>46</v>
      </c>
      <c r="E641">
        <v>9</v>
      </c>
      <c r="F641">
        <v>9</v>
      </c>
      <c r="G641" t="s">
        <v>15</v>
      </c>
      <c r="H641" t="str">
        <f t="shared" si="18"/>
        <v>PSI</v>
      </c>
      <c r="I641">
        <f t="shared" si="19"/>
        <v>0.13053396395718828</v>
      </c>
    </row>
    <row r="642" spans="1:9" x14ac:dyDescent="0.2">
      <c r="A642">
        <v>210755</v>
      </c>
      <c r="B642" t="s">
        <v>47</v>
      </c>
      <c r="C642" t="s">
        <v>8</v>
      </c>
      <c r="D642" t="s">
        <v>48</v>
      </c>
      <c r="E642">
        <v>1767</v>
      </c>
      <c r="F642">
        <v>176.7</v>
      </c>
      <c r="G642" t="s">
        <v>49</v>
      </c>
      <c r="H642" t="e">
        <f t="shared" si="18"/>
        <v>#VALUE!</v>
      </c>
      <c r="I642" t="str">
        <f t="shared" si="19"/>
        <v>-</v>
      </c>
    </row>
    <row r="643" spans="1:9" x14ac:dyDescent="0.2">
      <c r="A643">
        <v>210967</v>
      </c>
      <c r="B643" t="s">
        <v>50</v>
      </c>
      <c r="C643" t="s">
        <v>8</v>
      </c>
      <c r="D643" t="s">
        <v>51</v>
      </c>
      <c r="E643">
        <v>24583</v>
      </c>
      <c r="F643">
        <v>960.27</v>
      </c>
      <c r="G643" t="s">
        <v>15</v>
      </c>
      <c r="H643" t="str">
        <f t="shared" ref="H643:H706" si="20">IF(FIND("Pa",G643,1),"PSI","-")</f>
        <v>PSI</v>
      </c>
      <c r="I643">
        <f t="shared" ref="I643:I706" si="21">IF(G643="hPa",CONVERT(F643*100,"Pa","psi"), IF(G643="MPa",CONVERT(F643*1000000,"Pa","psi"),"-"))</f>
        <v>13.9275388410188</v>
      </c>
    </row>
    <row r="644" spans="1:9" x14ac:dyDescent="0.2">
      <c r="A644">
        <v>211159</v>
      </c>
      <c r="B644" t="s">
        <v>52</v>
      </c>
      <c r="C644" t="s">
        <v>8</v>
      </c>
      <c r="D644" t="s">
        <v>53</v>
      </c>
      <c r="E644">
        <v>97</v>
      </c>
      <c r="F644">
        <v>24.75</v>
      </c>
      <c r="G644" t="s">
        <v>10</v>
      </c>
      <c r="H644" t="e">
        <f t="shared" si="20"/>
        <v>#VALUE!</v>
      </c>
      <c r="I644" t="str">
        <f t="shared" si="21"/>
        <v>-</v>
      </c>
    </row>
    <row r="645" spans="1:9" x14ac:dyDescent="0.2">
      <c r="A645">
        <v>211351</v>
      </c>
      <c r="B645" t="s">
        <v>54</v>
      </c>
      <c r="C645" t="s">
        <v>8</v>
      </c>
      <c r="D645" t="s">
        <v>55</v>
      </c>
      <c r="E645">
        <v>5</v>
      </c>
      <c r="F645">
        <v>20</v>
      </c>
      <c r="G645" t="s">
        <v>56</v>
      </c>
      <c r="H645" t="e">
        <f t="shared" si="20"/>
        <v>#VALUE!</v>
      </c>
      <c r="I645" t="str">
        <f t="shared" si="21"/>
        <v>-</v>
      </c>
    </row>
    <row r="646" spans="1:9" x14ac:dyDescent="0.2">
      <c r="A646">
        <v>211723</v>
      </c>
      <c r="B646" t="s">
        <v>57</v>
      </c>
      <c r="C646" t="s">
        <v>8</v>
      </c>
      <c r="D646" t="s">
        <v>58</v>
      </c>
      <c r="E646" t="s">
        <v>18</v>
      </c>
      <c r="F646" t="s">
        <v>18</v>
      </c>
      <c r="G646" t="s">
        <v>18</v>
      </c>
      <c r="H646" t="e">
        <f t="shared" si="20"/>
        <v>#VALUE!</v>
      </c>
      <c r="I646" t="str">
        <f t="shared" si="21"/>
        <v>-</v>
      </c>
    </row>
    <row r="647" spans="1:9" x14ac:dyDescent="0.2">
      <c r="A647">
        <v>212105</v>
      </c>
      <c r="B647" t="s">
        <v>59</v>
      </c>
      <c r="C647" t="s">
        <v>8</v>
      </c>
      <c r="D647" t="s">
        <v>60</v>
      </c>
      <c r="E647" t="s">
        <v>18</v>
      </c>
      <c r="F647" t="s">
        <v>18</v>
      </c>
      <c r="G647" t="s">
        <v>18</v>
      </c>
      <c r="H647" t="e">
        <f t="shared" si="20"/>
        <v>#VALUE!</v>
      </c>
      <c r="I647" t="str">
        <f t="shared" si="21"/>
        <v>-</v>
      </c>
    </row>
    <row r="648" spans="1:9" x14ac:dyDescent="0.2">
      <c r="A648">
        <v>212487</v>
      </c>
      <c r="B648" t="s">
        <v>61</v>
      </c>
      <c r="C648" t="s">
        <v>8</v>
      </c>
      <c r="D648" t="s">
        <v>62</v>
      </c>
      <c r="E648" t="s">
        <v>18</v>
      </c>
      <c r="F648" t="s">
        <v>18</v>
      </c>
      <c r="G648" t="s">
        <v>18</v>
      </c>
      <c r="H648" t="e">
        <f t="shared" si="20"/>
        <v>#VALUE!</v>
      </c>
      <c r="I648" t="str">
        <f t="shared" si="21"/>
        <v>-</v>
      </c>
    </row>
    <row r="649" spans="1:9" x14ac:dyDescent="0.2">
      <c r="A649">
        <v>212869</v>
      </c>
      <c r="B649" t="s">
        <v>63</v>
      </c>
      <c r="C649" t="s">
        <v>8</v>
      </c>
      <c r="D649" t="s">
        <v>64</v>
      </c>
      <c r="E649" t="s">
        <v>18</v>
      </c>
      <c r="F649" t="s">
        <v>18</v>
      </c>
      <c r="G649" t="s">
        <v>18</v>
      </c>
      <c r="H649" t="e">
        <f t="shared" si="20"/>
        <v>#VALUE!</v>
      </c>
      <c r="I649" t="str">
        <f t="shared" si="21"/>
        <v>-</v>
      </c>
    </row>
    <row r="650" spans="1:9" x14ac:dyDescent="0.2">
      <c r="A650">
        <v>213121</v>
      </c>
      <c r="B650" t="s">
        <v>65</v>
      </c>
      <c r="C650" t="s">
        <v>8</v>
      </c>
      <c r="D650" t="s">
        <v>66</v>
      </c>
      <c r="E650">
        <v>27151</v>
      </c>
      <c r="F650">
        <v>3.31</v>
      </c>
      <c r="G650" t="s">
        <v>67</v>
      </c>
      <c r="H650" t="e">
        <f t="shared" si="20"/>
        <v>#VALUE!</v>
      </c>
      <c r="I650" t="str">
        <f t="shared" si="21"/>
        <v>-</v>
      </c>
    </row>
    <row r="651" spans="1:9" x14ac:dyDescent="0.2">
      <c r="A651">
        <v>213493</v>
      </c>
      <c r="B651" t="s">
        <v>68</v>
      </c>
      <c r="C651" t="s">
        <v>8</v>
      </c>
      <c r="D651" t="s">
        <v>69</v>
      </c>
      <c r="E651" t="s">
        <v>18</v>
      </c>
      <c r="F651" t="s">
        <v>18</v>
      </c>
      <c r="G651" t="s">
        <v>18</v>
      </c>
      <c r="H651" t="e">
        <f t="shared" si="20"/>
        <v>#VALUE!</v>
      </c>
      <c r="I651" t="str">
        <f t="shared" si="21"/>
        <v>-</v>
      </c>
    </row>
    <row r="652" spans="1:9" x14ac:dyDescent="0.2">
      <c r="A652">
        <v>213695</v>
      </c>
      <c r="B652" t="s">
        <v>7</v>
      </c>
      <c r="C652" t="s">
        <v>8</v>
      </c>
      <c r="D652" t="s">
        <v>9</v>
      </c>
      <c r="E652">
        <v>162</v>
      </c>
      <c r="F652">
        <v>102</v>
      </c>
      <c r="G652" t="s">
        <v>10</v>
      </c>
      <c r="H652" t="e">
        <f t="shared" si="20"/>
        <v>#VALUE!</v>
      </c>
      <c r="I652" t="str">
        <f t="shared" si="21"/>
        <v>-</v>
      </c>
    </row>
    <row r="653" spans="1:9" x14ac:dyDescent="0.2">
      <c r="A653">
        <v>213887</v>
      </c>
      <c r="B653" t="s">
        <v>11</v>
      </c>
      <c r="C653" t="s">
        <v>8</v>
      </c>
      <c r="D653" t="s">
        <v>12</v>
      </c>
      <c r="E653">
        <v>202</v>
      </c>
      <c r="F653">
        <v>103.5</v>
      </c>
      <c r="G653" t="s">
        <v>10</v>
      </c>
      <c r="H653" t="e">
        <f t="shared" si="20"/>
        <v>#VALUE!</v>
      </c>
      <c r="I653" t="str">
        <f t="shared" si="21"/>
        <v>-</v>
      </c>
    </row>
    <row r="654" spans="1:9" x14ac:dyDescent="0.2">
      <c r="A654">
        <v>214099</v>
      </c>
      <c r="B654" t="s">
        <v>13</v>
      </c>
      <c r="C654" t="s">
        <v>8</v>
      </c>
      <c r="D654" t="s">
        <v>14</v>
      </c>
      <c r="E654">
        <v>26029</v>
      </c>
      <c r="F654">
        <v>1016.76</v>
      </c>
      <c r="G654" t="s">
        <v>15</v>
      </c>
      <c r="H654" t="str">
        <f t="shared" si="20"/>
        <v>PSI</v>
      </c>
      <c r="I654">
        <f t="shared" si="21"/>
        <v>14.746857021456751</v>
      </c>
    </row>
    <row r="655" spans="1:9" x14ac:dyDescent="0.2">
      <c r="A655">
        <v>214482</v>
      </c>
      <c r="B655" t="s">
        <v>16</v>
      </c>
      <c r="C655" t="s">
        <v>8</v>
      </c>
      <c r="D655" t="s">
        <v>17</v>
      </c>
      <c r="E655" t="s">
        <v>18</v>
      </c>
      <c r="F655" t="s">
        <v>18</v>
      </c>
      <c r="G655" t="s">
        <v>18</v>
      </c>
      <c r="H655" t="e">
        <f t="shared" si="20"/>
        <v>#VALUE!</v>
      </c>
      <c r="I655" t="str">
        <f t="shared" si="21"/>
        <v>-</v>
      </c>
    </row>
    <row r="656" spans="1:9" x14ac:dyDescent="0.2">
      <c r="A656">
        <v>214694</v>
      </c>
      <c r="B656" t="s">
        <v>19</v>
      </c>
      <c r="C656" t="s">
        <v>8</v>
      </c>
      <c r="D656" t="s">
        <v>20</v>
      </c>
      <c r="E656">
        <v>13204</v>
      </c>
      <c r="F656">
        <v>1031.56</v>
      </c>
      <c r="G656" t="s">
        <v>15</v>
      </c>
      <c r="H656" t="str">
        <f t="shared" si="20"/>
        <v>PSI</v>
      </c>
      <c r="I656">
        <f t="shared" si="21"/>
        <v>14.961512873297462</v>
      </c>
    </row>
    <row r="657" spans="1:9" x14ac:dyDescent="0.2">
      <c r="A657">
        <v>214906</v>
      </c>
      <c r="B657" t="s">
        <v>21</v>
      </c>
      <c r="C657" t="s">
        <v>8</v>
      </c>
      <c r="D657" t="s">
        <v>22</v>
      </c>
      <c r="E657">
        <v>5689</v>
      </c>
      <c r="F657">
        <v>1422.25</v>
      </c>
      <c r="G657" t="s">
        <v>23</v>
      </c>
      <c r="H657" t="e">
        <f t="shared" si="20"/>
        <v>#VALUE!</v>
      </c>
      <c r="I657" t="str">
        <f t="shared" si="21"/>
        <v>-</v>
      </c>
    </row>
    <row r="658" spans="1:9" x14ac:dyDescent="0.2">
      <c r="A658">
        <v>215098</v>
      </c>
      <c r="B658" t="s">
        <v>24</v>
      </c>
      <c r="C658" t="s">
        <v>8</v>
      </c>
      <c r="D658" t="s">
        <v>25</v>
      </c>
      <c r="E658">
        <v>4</v>
      </c>
      <c r="F658">
        <v>4</v>
      </c>
      <c r="G658" t="s">
        <v>26</v>
      </c>
      <c r="H658" t="e">
        <f t="shared" si="20"/>
        <v>#VALUE!</v>
      </c>
      <c r="I658" t="str">
        <f t="shared" si="21"/>
        <v>-</v>
      </c>
    </row>
    <row r="659" spans="1:9" x14ac:dyDescent="0.2">
      <c r="A659">
        <v>215310</v>
      </c>
      <c r="B659" t="s">
        <v>27</v>
      </c>
      <c r="C659" t="s">
        <v>8</v>
      </c>
      <c r="D659" t="s">
        <v>28</v>
      </c>
      <c r="E659">
        <v>602</v>
      </c>
      <c r="F659">
        <v>14.14</v>
      </c>
      <c r="G659" t="s">
        <v>29</v>
      </c>
      <c r="H659" t="e">
        <f t="shared" si="20"/>
        <v>#VALUE!</v>
      </c>
      <c r="I659" t="str">
        <f t="shared" si="21"/>
        <v>-</v>
      </c>
    </row>
    <row r="660" spans="1:9" x14ac:dyDescent="0.2">
      <c r="A660">
        <v>215522</v>
      </c>
      <c r="B660" t="s">
        <v>30</v>
      </c>
      <c r="C660" t="s">
        <v>8</v>
      </c>
      <c r="D660" t="s">
        <v>31</v>
      </c>
      <c r="E660">
        <v>3020</v>
      </c>
      <c r="F660">
        <v>3020</v>
      </c>
      <c r="G660" t="s">
        <v>15</v>
      </c>
      <c r="H660" t="str">
        <f t="shared" si="20"/>
        <v>PSI</v>
      </c>
      <c r="I660">
        <f t="shared" si="21"/>
        <v>43.801396794523178</v>
      </c>
    </row>
    <row r="661" spans="1:9" x14ac:dyDescent="0.2">
      <c r="A661">
        <v>215734</v>
      </c>
      <c r="B661" t="s">
        <v>32</v>
      </c>
      <c r="C661" t="s">
        <v>8</v>
      </c>
      <c r="D661" t="s">
        <v>33</v>
      </c>
      <c r="E661">
        <v>65536</v>
      </c>
      <c r="F661">
        <v>16</v>
      </c>
      <c r="G661" t="s">
        <v>26</v>
      </c>
      <c r="H661" t="e">
        <f t="shared" si="20"/>
        <v>#VALUE!</v>
      </c>
      <c r="I661" t="str">
        <f t="shared" si="21"/>
        <v>-</v>
      </c>
    </row>
    <row r="662" spans="1:9" x14ac:dyDescent="0.2">
      <c r="A662">
        <v>215946</v>
      </c>
      <c r="B662" t="s">
        <v>34</v>
      </c>
      <c r="C662" t="s">
        <v>8</v>
      </c>
      <c r="D662" t="s">
        <v>35</v>
      </c>
      <c r="E662">
        <v>65299</v>
      </c>
      <c r="F662">
        <v>15.94</v>
      </c>
      <c r="G662" t="s">
        <v>26</v>
      </c>
      <c r="H662" t="e">
        <f t="shared" si="20"/>
        <v>#VALUE!</v>
      </c>
      <c r="I662" t="str">
        <f t="shared" si="21"/>
        <v>-</v>
      </c>
    </row>
    <row r="663" spans="1:9" x14ac:dyDescent="0.2">
      <c r="A663">
        <v>216318</v>
      </c>
      <c r="B663" t="s">
        <v>36</v>
      </c>
      <c r="C663" t="s">
        <v>8</v>
      </c>
      <c r="D663" t="s">
        <v>37</v>
      </c>
      <c r="E663" t="s">
        <v>18</v>
      </c>
      <c r="F663" t="s">
        <v>18</v>
      </c>
      <c r="G663" t="s">
        <v>18</v>
      </c>
      <c r="H663" t="e">
        <f t="shared" si="20"/>
        <v>#VALUE!</v>
      </c>
      <c r="I663" t="str">
        <f t="shared" si="21"/>
        <v>-</v>
      </c>
    </row>
    <row r="664" spans="1:9" x14ac:dyDescent="0.2">
      <c r="A664">
        <v>216700</v>
      </c>
      <c r="B664" t="s">
        <v>38</v>
      </c>
      <c r="C664" t="s">
        <v>8</v>
      </c>
      <c r="D664" t="s">
        <v>39</v>
      </c>
      <c r="E664" t="s">
        <v>18</v>
      </c>
      <c r="F664" t="s">
        <v>18</v>
      </c>
      <c r="G664" t="s">
        <v>18</v>
      </c>
      <c r="H664" t="e">
        <f t="shared" si="20"/>
        <v>#VALUE!</v>
      </c>
      <c r="I664" t="str">
        <f t="shared" si="21"/>
        <v>-</v>
      </c>
    </row>
    <row r="665" spans="1:9" x14ac:dyDescent="0.2">
      <c r="A665">
        <v>217082</v>
      </c>
      <c r="B665" t="s">
        <v>40</v>
      </c>
      <c r="C665" t="s">
        <v>8</v>
      </c>
      <c r="D665" t="s">
        <v>41</v>
      </c>
      <c r="E665" t="s">
        <v>18</v>
      </c>
      <c r="F665" t="s">
        <v>18</v>
      </c>
      <c r="G665" t="s">
        <v>18</v>
      </c>
      <c r="H665" t="e">
        <f t="shared" si="20"/>
        <v>#VALUE!</v>
      </c>
      <c r="I665" t="str">
        <f t="shared" si="21"/>
        <v>-</v>
      </c>
    </row>
    <row r="666" spans="1:9" x14ac:dyDescent="0.2">
      <c r="A666">
        <v>217294</v>
      </c>
      <c r="B666" t="s">
        <v>42</v>
      </c>
      <c r="C666" t="s">
        <v>8</v>
      </c>
      <c r="D666" t="s">
        <v>43</v>
      </c>
      <c r="E666">
        <v>9835</v>
      </c>
      <c r="F666">
        <v>4.92</v>
      </c>
      <c r="G666" t="s">
        <v>44</v>
      </c>
      <c r="H666" t="str">
        <f t="shared" si="20"/>
        <v>PSI</v>
      </c>
      <c r="I666">
        <f t="shared" si="21"/>
        <v>713.58566963262933</v>
      </c>
    </row>
    <row r="667" spans="1:9" x14ac:dyDescent="0.2">
      <c r="A667">
        <v>217486</v>
      </c>
      <c r="B667" t="s">
        <v>45</v>
      </c>
      <c r="C667" t="s">
        <v>8</v>
      </c>
      <c r="D667" t="s">
        <v>46</v>
      </c>
      <c r="E667">
        <v>12</v>
      </c>
      <c r="F667">
        <v>12</v>
      </c>
      <c r="G667" t="s">
        <v>15</v>
      </c>
      <c r="H667" t="str">
        <f t="shared" si="20"/>
        <v>PSI</v>
      </c>
      <c r="I667">
        <f t="shared" si="21"/>
        <v>0.17404528527625104</v>
      </c>
    </row>
    <row r="668" spans="1:9" x14ac:dyDescent="0.2">
      <c r="A668">
        <v>217699</v>
      </c>
      <c r="B668" t="s">
        <v>47</v>
      </c>
      <c r="C668" t="s">
        <v>8</v>
      </c>
      <c r="D668" t="s">
        <v>48</v>
      </c>
      <c r="E668">
        <v>1836</v>
      </c>
      <c r="F668">
        <v>183.6</v>
      </c>
      <c r="G668" t="s">
        <v>49</v>
      </c>
      <c r="H668" t="e">
        <f t="shared" si="20"/>
        <v>#VALUE!</v>
      </c>
      <c r="I668" t="str">
        <f t="shared" si="21"/>
        <v>-</v>
      </c>
    </row>
    <row r="669" spans="1:9" x14ac:dyDescent="0.2">
      <c r="A669">
        <v>217901</v>
      </c>
      <c r="B669" t="s">
        <v>50</v>
      </c>
      <c r="C669" t="s">
        <v>8</v>
      </c>
      <c r="D669" t="s">
        <v>51</v>
      </c>
      <c r="E669">
        <v>24471</v>
      </c>
      <c r="F669">
        <v>955.9</v>
      </c>
      <c r="G669" t="s">
        <v>15</v>
      </c>
      <c r="H669" t="str">
        <f t="shared" si="20"/>
        <v>PSI</v>
      </c>
      <c r="I669">
        <f t="shared" si="21"/>
        <v>13.864157349630698</v>
      </c>
    </row>
    <row r="670" spans="1:9" x14ac:dyDescent="0.2">
      <c r="A670">
        <v>218102</v>
      </c>
      <c r="B670" t="s">
        <v>52</v>
      </c>
      <c r="C670" t="s">
        <v>8</v>
      </c>
      <c r="D670" t="s">
        <v>53</v>
      </c>
      <c r="E670">
        <v>97</v>
      </c>
      <c r="F670">
        <v>24.75</v>
      </c>
      <c r="G670" t="s">
        <v>10</v>
      </c>
      <c r="H670" t="e">
        <f t="shared" si="20"/>
        <v>#VALUE!</v>
      </c>
      <c r="I670" t="str">
        <f t="shared" si="21"/>
        <v>-</v>
      </c>
    </row>
    <row r="671" spans="1:9" x14ac:dyDescent="0.2">
      <c r="A671">
        <v>218294</v>
      </c>
      <c r="B671" t="s">
        <v>54</v>
      </c>
      <c r="C671" t="s">
        <v>8</v>
      </c>
      <c r="D671" t="s">
        <v>55</v>
      </c>
      <c r="E671">
        <v>3</v>
      </c>
      <c r="F671">
        <v>12</v>
      </c>
      <c r="G671" t="s">
        <v>56</v>
      </c>
      <c r="H671" t="e">
        <f t="shared" si="20"/>
        <v>#VALUE!</v>
      </c>
      <c r="I671" t="str">
        <f t="shared" si="21"/>
        <v>-</v>
      </c>
    </row>
    <row r="672" spans="1:9" x14ac:dyDescent="0.2">
      <c r="A672">
        <v>218676</v>
      </c>
      <c r="B672" t="s">
        <v>57</v>
      </c>
      <c r="C672" t="s">
        <v>8</v>
      </c>
      <c r="D672" t="s">
        <v>58</v>
      </c>
      <c r="E672" t="s">
        <v>18</v>
      </c>
      <c r="F672" t="s">
        <v>18</v>
      </c>
      <c r="G672" t="s">
        <v>18</v>
      </c>
      <c r="H672" t="e">
        <f t="shared" si="20"/>
        <v>#VALUE!</v>
      </c>
      <c r="I672" t="str">
        <f t="shared" si="21"/>
        <v>-</v>
      </c>
    </row>
    <row r="673" spans="1:9" x14ac:dyDescent="0.2">
      <c r="A673">
        <v>219058</v>
      </c>
      <c r="B673" t="s">
        <v>59</v>
      </c>
      <c r="C673" t="s">
        <v>8</v>
      </c>
      <c r="D673" t="s">
        <v>60</v>
      </c>
      <c r="E673" t="s">
        <v>18</v>
      </c>
      <c r="F673" t="s">
        <v>18</v>
      </c>
      <c r="G673" t="s">
        <v>18</v>
      </c>
      <c r="H673" t="e">
        <f t="shared" si="20"/>
        <v>#VALUE!</v>
      </c>
      <c r="I673" t="str">
        <f t="shared" si="21"/>
        <v>-</v>
      </c>
    </row>
    <row r="674" spans="1:9" x14ac:dyDescent="0.2">
      <c r="A674">
        <v>219430</v>
      </c>
      <c r="B674" t="s">
        <v>61</v>
      </c>
      <c r="C674" t="s">
        <v>8</v>
      </c>
      <c r="D674" t="s">
        <v>62</v>
      </c>
      <c r="E674" t="s">
        <v>18</v>
      </c>
      <c r="F674" t="s">
        <v>18</v>
      </c>
      <c r="G674" t="s">
        <v>18</v>
      </c>
      <c r="H674" t="e">
        <f t="shared" si="20"/>
        <v>#VALUE!</v>
      </c>
      <c r="I674" t="str">
        <f t="shared" si="21"/>
        <v>-</v>
      </c>
    </row>
    <row r="675" spans="1:9" x14ac:dyDescent="0.2">
      <c r="A675">
        <v>219812</v>
      </c>
      <c r="B675" t="s">
        <v>63</v>
      </c>
      <c r="C675" t="s">
        <v>8</v>
      </c>
      <c r="D675" t="s">
        <v>64</v>
      </c>
      <c r="E675" t="s">
        <v>18</v>
      </c>
      <c r="F675" t="s">
        <v>18</v>
      </c>
      <c r="G675" t="s">
        <v>18</v>
      </c>
      <c r="H675" t="e">
        <f t="shared" si="20"/>
        <v>#VALUE!</v>
      </c>
      <c r="I675" t="str">
        <f t="shared" si="21"/>
        <v>-</v>
      </c>
    </row>
    <row r="676" spans="1:9" x14ac:dyDescent="0.2">
      <c r="A676">
        <v>220064</v>
      </c>
      <c r="B676" t="s">
        <v>65</v>
      </c>
      <c r="C676" t="s">
        <v>8</v>
      </c>
      <c r="D676" t="s">
        <v>66</v>
      </c>
      <c r="E676">
        <v>27154</v>
      </c>
      <c r="F676">
        <v>3.31</v>
      </c>
      <c r="G676" t="s">
        <v>67</v>
      </c>
      <c r="H676" t="e">
        <f t="shared" si="20"/>
        <v>#VALUE!</v>
      </c>
      <c r="I676" t="str">
        <f t="shared" si="21"/>
        <v>-</v>
      </c>
    </row>
    <row r="677" spans="1:9" x14ac:dyDescent="0.2">
      <c r="A677">
        <v>220446</v>
      </c>
      <c r="B677" t="s">
        <v>68</v>
      </c>
      <c r="C677" t="s">
        <v>8</v>
      </c>
      <c r="D677" t="s">
        <v>69</v>
      </c>
      <c r="E677" t="s">
        <v>18</v>
      </c>
      <c r="F677" t="s">
        <v>18</v>
      </c>
      <c r="G677" t="s">
        <v>18</v>
      </c>
      <c r="H677" t="e">
        <f t="shared" si="20"/>
        <v>#VALUE!</v>
      </c>
      <c r="I677" t="str">
        <f t="shared" si="21"/>
        <v>-</v>
      </c>
    </row>
    <row r="678" spans="1:9" x14ac:dyDescent="0.2">
      <c r="A678">
        <v>220648</v>
      </c>
      <c r="B678" t="s">
        <v>7</v>
      </c>
      <c r="C678" t="s">
        <v>8</v>
      </c>
      <c r="D678" t="s">
        <v>9</v>
      </c>
      <c r="E678">
        <v>163</v>
      </c>
      <c r="F678">
        <v>103</v>
      </c>
      <c r="G678" t="s">
        <v>10</v>
      </c>
      <c r="H678" t="e">
        <f t="shared" si="20"/>
        <v>#VALUE!</v>
      </c>
      <c r="I678" t="str">
        <f t="shared" si="21"/>
        <v>-</v>
      </c>
    </row>
    <row r="679" spans="1:9" x14ac:dyDescent="0.2">
      <c r="A679">
        <v>220840</v>
      </c>
      <c r="B679" t="s">
        <v>11</v>
      </c>
      <c r="C679" t="s">
        <v>8</v>
      </c>
      <c r="D679" t="s">
        <v>12</v>
      </c>
      <c r="E679">
        <v>202</v>
      </c>
      <c r="F679">
        <v>103.5</v>
      </c>
      <c r="G679" t="s">
        <v>10</v>
      </c>
      <c r="H679" t="e">
        <f t="shared" si="20"/>
        <v>#VALUE!</v>
      </c>
      <c r="I679" t="str">
        <f t="shared" si="21"/>
        <v>-</v>
      </c>
    </row>
    <row r="680" spans="1:9" x14ac:dyDescent="0.2">
      <c r="A680">
        <v>221052</v>
      </c>
      <c r="B680" t="s">
        <v>13</v>
      </c>
      <c r="C680" t="s">
        <v>8</v>
      </c>
      <c r="D680" t="s">
        <v>14</v>
      </c>
      <c r="E680">
        <v>26029</v>
      </c>
      <c r="F680">
        <v>1016.76</v>
      </c>
      <c r="G680" t="s">
        <v>15</v>
      </c>
      <c r="H680" t="str">
        <f t="shared" si="20"/>
        <v>PSI</v>
      </c>
      <c r="I680">
        <f t="shared" si="21"/>
        <v>14.746857021456751</v>
      </c>
    </row>
    <row r="681" spans="1:9" x14ac:dyDescent="0.2">
      <c r="A681">
        <v>221434</v>
      </c>
      <c r="B681" t="s">
        <v>16</v>
      </c>
      <c r="C681" t="s">
        <v>8</v>
      </c>
      <c r="D681" t="s">
        <v>17</v>
      </c>
      <c r="E681" t="s">
        <v>18</v>
      </c>
      <c r="F681" t="s">
        <v>18</v>
      </c>
      <c r="G681" t="s">
        <v>18</v>
      </c>
      <c r="H681" t="e">
        <f t="shared" si="20"/>
        <v>#VALUE!</v>
      </c>
      <c r="I681" t="str">
        <f t="shared" si="21"/>
        <v>-</v>
      </c>
    </row>
    <row r="682" spans="1:9" x14ac:dyDescent="0.2">
      <c r="A682">
        <v>221646</v>
      </c>
      <c r="B682" t="s">
        <v>19</v>
      </c>
      <c r="C682" t="s">
        <v>8</v>
      </c>
      <c r="D682" t="s">
        <v>20</v>
      </c>
      <c r="E682">
        <v>12985</v>
      </c>
      <c r="F682">
        <v>1014.45</v>
      </c>
      <c r="G682" t="s">
        <v>15</v>
      </c>
      <c r="H682" t="str">
        <f t="shared" si="20"/>
        <v>PSI</v>
      </c>
      <c r="I682">
        <f t="shared" si="21"/>
        <v>14.713353304041073</v>
      </c>
    </row>
    <row r="683" spans="1:9" x14ac:dyDescent="0.2">
      <c r="A683">
        <v>221858</v>
      </c>
      <c r="B683" t="s">
        <v>21</v>
      </c>
      <c r="C683" t="s">
        <v>8</v>
      </c>
      <c r="D683" t="s">
        <v>22</v>
      </c>
      <c r="E683">
        <v>3317</v>
      </c>
      <c r="F683">
        <v>829.25</v>
      </c>
      <c r="G683" t="s">
        <v>23</v>
      </c>
      <c r="H683" t="e">
        <f t="shared" si="20"/>
        <v>#VALUE!</v>
      </c>
      <c r="I683" t="str">
        <f t="shared" si="21"/>
        <v>-</v>
      </c>
    </row>
    <row r="684" spans="1:9" x14ac:dyDescent="0.2">
      <c r="A684">
        <v>222050</v>
      </c>
      <c r="B684" t="s">
        <v>24</v>
      </c>
      <c r="C684" t="s">
        <v>8</v>
      </c>
      <c r="D684" t="s">
        <v>25</v>
      </c>
      <c r="E684">
        <v>2</v>
      </c>
      <c r="F684">
        <v>2</v>
      </c>
      <c r="G684" t="s">
        <v>26</v>
      </c>
      <c r="H684" t="e">
        <f t="shared" si="20"/>
        <v>#VALUE!</v>
      </c>
      <c r="I684" t="str">
        <f t="shared" si="21"/>
        <v>-</v>
      </c>
    </row>
    <row r="685" spans="1:9" x14ac:dyDescent="0.2">
      <c r="A685">
        <v>222272</v>
      </c>
      <c r="B685" t="s">
        <v>27</v>
      </c>
      <c r="C685" t="s">
        <v>8</v>
      </c>
      <c r="D685" t="s">
        <v>28</v>
      </c>
      <c r="E685">
        <v>601</v>
      </c>
      <c r="F685">
        <v>14.11</v>
      </c>
      <c r="G685" t="s">
        <v>29</v>
      </c>
      <c r="H685" t="e">
        <f t="shared" si="20"/>
        <v>#VALUE!</v>
      </c>
      <c r="I685" t="str">
        <f t="shared" si="21"/>
        <v>-</v>
      </c>
    </row>
    <row r="686" spans="1:9" x14ac:dyDescent="0.2">
      <c r="A686">
        <v>222484</v>
      </c>
      <c r="B686" t="s">
        <v>30</v>
      </c>
      <c r="C686" t="s">
        <v>8</v>
      </c>
      <c r="D686" t="s">
        <v>31</v>
      </c>
      <c r="E686">
        <v>2944</v>
      </c>
      <c r="F686">
        <v>2944</v>
      </c>
      <c r="G686" t="s">
        <v>15</v>
      </c>
      <c r="H686" t="str">
        <f t="shared" si="20"/>
        <v>PSI</v>
      </c>
      <c r="I686">
        <f t="shared" si="21"/>
        <v>42.699109987773589</v>
      </c>
    </row>
    <row r="687" spans="1:9" x14ac:dyDescent="0.2">
      <c r="A687">
        <v>222697</v>
      </c>
      <c r="B687" t="s">
        <v>32</v>
      </c>
      <c r="C687" t="s">
        <v>8</v>
      </c>
      <c r="D687" t="s">
        <v>33</v>
      </c>
      <c r="E687">
        <v>3705</v>
      </c>
      <c r="F687">
        <v>0.9</v>
      </c>
      <c r="G687" t="s">
        <v>26</v>
      </c>
      <c r="H687" t="e">
        <f t="shared" si="20"/>
        <v>#VALUE!</v>
      </c>
      <c r="I687" t="str">
        <f t="shared" si="21"/>
        <v>-</v>
      </c>
    </row>
    <row r="688" spans="1:9" x14ac:dyDescent="0.2">
      <c r="A688">
        <v>222909</v>
      </c>
      <c r="B688" t="s">
        <v>34</v>
      </c>
      <c r="C688" t="s">
        <v>8</v>
      </c>
      <c r="D688" t="s">
        <v>35</v>
      </c>
      <c r="E688">
        <v>3717</v>
      </c>
      <c r="F688">
        <v>0.91</v>
      </c>
      <c r="G688" t="s">
        <v>26</v>
      </c>
      <c r="H688" t="e">
        <f t="shared" si="20"/>
        <v>#VALUE!</v>
      </c>
      <c r="I688" t="str">
        <f t="shared" si="21"/>
        <v>-</v>
      </c>
    </row>
    <row r="689" spans="1:9" x14ac:dyDescent="0.2">
      <c r="A689">
        <v>223291</v>
      </c>
      <c r="B689" t="s">
        <v>36</v>
      </c>
      <c r="C689" t="s">
        <v>8</v>
      </c>
      <c r="D689" t="s">
        <v>37</v>
      </c>
      <c r="E689" t="s">
        <v>18</v>
      </c>
      <c r="F689" t="s">
        <v>18</v>
      </c>
      <c r="G689" t="s">
        <v>18</v>
      </c>
      <c r="H689" t="e">
        <f t="shared" si="20"/>
        <v>#VALUE!</v>
      </c>
      <c r="I689" t="str">
        <f t="shared" si="21"/>
        <v>-</v>
      </c>
    </row>
    <row r="690" spans="1:9" x14ac:dyDescent="0.2">
      <c r="A690">
        <v>223663</v>
      </c>
      <c r="B690" t="s">
        <v>38</v>
      </c>
      <c r="C690" t="s">
        <v>8</v>
      </c>
      <c r="D690" t="s">
        <v>39</v>
      </c>
      <c r="E690" t="s">
        <v>18</v>
      </c>
      <c r="F690" t="s">
        <v>18</v>
      </c>
      <c r="G690" t="s">
        <v>18</v>
      </c>
      <c r="H690" t="e">
        <f t="shared" si="20"/>
        <v>#VALUE!</v>
      </c>
      <c r="I690" t="str">
        <f t="shared" si="21"/>
        <v>-</v>
      </c>
    </row>
    <row r="691" spans="1:9" x14ac:dyDescent="0.2">
      <c r="A691">
        <v>224035</v>
      </c>
      <c r="B691" t="s">
        <v>40</v>
      </c>
      <c r="C691" t="s">
        <v>8</v>
      </c>
      <c r="D691" t="s">
        <v>41</v>
      </c>
      <c r="E691" t="s">
        <v>18</v>
      </c>
      <c r="F691" t="s">
        <v>18</v>
      </c>
      <c r="G691" t="s">
        <v>18</v>
      </c>
      <c r="H691" t="e">
        <f t="shared" si="20"/>
        <v>#VALUE!</v>
      </c>
      <c r="I691" t="str">
        <f t="shared" si="21"/>
        <v>-</v>
      </c>
    </row>
    <row r="692" spans="1:9" x14ac:dyDescent="0.2">
      <c r="A692">
        <v>224247</v>
      </c>
      <c r="B692" t="s">
        <v>42</v>
      </c>
      <c r="C692" t="s">
        <v>8</v>
      </c>
      <c r="D692" t="s">
        <v>43</v>
      </c>
      <c r="E692">
        <v>9994</v>
      </c>
      <c r="F692">
        <v>5</v>
      </c>
      <c r="G692" t="s">
        <v>44</v>
      </c>
      <c r="H692" t="str">
        <f t="shared" si="20"/>
        <v>PSI</v>
      </c>
      <c r="I692">
        <f t="shared" si="21"/>
        <v>725.18868865104605</v>
      </c>
    </row>
    <row r="693" spans="1:9" x14ac:dyDescent="0.2">
      <c r="A693">
        <v>224439</v>
      </c>
      <c r="B693" t="s">
        <v>45</v>
      </c>
      <c r="C693" t="s">
        <v>8</v>
      </c>
      <c r="D693" t="s">
        <v>46</v>
      </c>
      <c r="E693">
        <v>7</v>
      </c>
      <c r="F693">
        <v>7</v>
      </c>
      <c r="G693" t="s">
        <v>15</v>
      </c>
      <c r="H693" t="str">
        <f t="shared" si="20"/>
        <v>PSI</v>
      </c>
      <c r="I693">
        <f t="shared" si="21"/>
        <v>0.10152641641114644</v>
      </c>
    </row>
    <row r="694" spans="1:9" x14ac:dyDescent="0.2">
      <c r="A694">
        <v>224652</v>
      </c>
      <c r="B694" t="s">
        <v>47</v>
      </c>
      <c r="C694" t="s">
        <v>8</v>
      </c>
      <c r="D694" t="s">
        <v>48</v>
      </c>
      <c r="E694">
        <v>1906</v>
      </c>
      <c r="F694">
        <v>190.6</v>
      </c>
      <c r="G694" t="s">
        <v>49</v>
      </c>
      <c r="H694" t="e">
        <f t="shared" si="20"/>
        <v>#VALUE!</v>
      </c>
      <c r="I694" t="str">
        <f t="shared" si="21"/>
        <v>-</v>
      </c>
    </row>
    <row r="695" spans="1:9" x14ac:dyDescent="0.2">
      <c r="A695">
        <v>224864</v>
      </c>
      <c r="B695" t="s">
        <v>50</v>
      </c>
      <c r="C695" t="s">
        <v>8</v>
      </c>
      <c r="D695" t="s">
        <v>51</v>
      </c>
      <c r="E695">
        <v>24458</v>
      </c>
      <c r="F695">
        <v>955.39</v>
      </c>
      <c r="G695" t="s">
        <v>15</v>
      </c>
      <c r="H695" t="str">
        <f t="shared" si="20"/>
        <v>PSI</v>
      </c>
      <c r="I695">
        <f t="shared" si="21"/>
        <v>13.856760425006458</v>
      </c>
    </row>
    <row r="696" spans="1:9" x14ac:dyDescent="0.2">
      <c r="A696">
        <v>225056</v>
      </c>
      <c r="B696" t="s">
        <v>52</v>
      </c>
      <c r="C696" t="s">
        <v>8</v>
      </c>
      <c r="D696" t="s">
        <v>53</v>
      </c>
      <c r="E696">
        <v>98</v>
      </c>
      <c r="F696">
        <v>25.5</v>
      </c>
      <c r="G696" t="s">
        <v>10</v>
      </c>
      <c r="H696" t="e">
        <f t="shared" si="20"/>
        <v>#VALUE!</v>
      </c>
      <c r="I696" t="str">
        <f t="shared" si="21"/>
        <v>-</v>
      </c>
    </row>
    <row r="697" spans="1:9" x14ac:dyDescent="0.2">
      <c r="A697">
        <v>225249</v>
      </c>
      <c r="B697" t="s">
        <v>54</v>
      </c>
      <c r="C697" t="s">
        <v>8</v>
      </c>
      <c r="D697" t="s">
        <v>55</v>
      </c>
      <c r="E697">
        <v>2</v>
      </c>
      <c r="F697">
        <v>8</v>
      </c>
      <c r="G697" t="s">
        <v>56</v>
      </c>
      <c r="H697" t="e">
        <f t="shared" si="20"/>
        <v>#VALUE!</v>
      </c>
      <c r="I697" t="str">
        <f t="shared" si="21"/>
        <v>-</v>
      </c>
    </row>
    <row r="698" spans="1:9" x14ac:dyDescent="0.2">
      <c r="A698">
        <v>225631</v>
      </c>
      <c r="B698" t="s">
        <v>57</v>
      </c>
      <c r="C698" t="s">
        <v>8</v>
      </c>
      <c r="D698" t="s">
        <v>58</v>
      </c>
      <c r="E698" t="s">
        <v>18</v>
      </c>
      <c r="F698" t="s">
        <v>18</v>
      </c>
      <c r="G698" t="s">
        <v>18</v>
      </c>
      <c r="H698" t="e">
        <f t="shared" si="20"/>
        <v>#VALUE!</v>
      </c>
      <c r="I698" t="str">
        <f t="shared" si="21"/>
        <v>-</v>
      </c>
    </row>
    <row r="699" spans="1:9" x14ac:dyDescent="0.2">
      <c r="A699">
        <v>226003</v>
      </c>
      <c r="B699" t="s">
        <v>59</v>
      </c>
      <c r="C699" t="s">
        <v>8</v>
      </c>
      <c r="D699" t="s">
        <v>60</v>
      </c>
      <c r="E699" t="s">
        <v>18</v>
      </c>
      <c r="F699" t="s">
        <v>18</v>
      </c>
      <c r="G699" t="s">
        <v>18</v>
      </c>
      <c r="H699" t="e">
        <f t="shared" si="20"/>
        <v>#VALUE!</v>
      </c>
      <c r="I699" t="str">
        <f t="shared" si="21"/>
        <v>-</v>
      </c>
    </row>
    <row r="700" spans="1:9" x14ac:dyDescent="0.2">
      <c r="A700">
        <v>226385</v>
      </c>
      <c r="B700" t="s">
        <v>61</v>
      </c>
      <c r="C700" t="s">
        <v>8</v>
      </c>
      <c r="D700" t="s">
        <v>62</v>
      </c>
      <c r="E700" t="s">
        <v>18</v>
      </c>
      <c r="F700" t="s">
        <v>18</v>
      </c>
      <c r="G700" t="s">
        <v>18</v>
      </c>
      <c r="H700" t="e">
        <f t="shared" si="20"/>
        <v>#VALUE!</v>
      </c>
      <c r="I700" t="str">
        <f t="shared" si="21"/>
        <v>-</v>
      </c>
    </row>
    <row r="701" spans="1:9" x14ac:dyDescent="0.2">
      <c r="A701">
        <v>226757</v>
      </c>
      <c r="B701" t="s">
        <v>63</v>
      </c>
      <c r="C701" t="s">
        <v>8</v>
      </c>
      <c r="D701" t="s">
        <v>64</v>
      </c>
      <c r="E701" t="s">
        <v>18</v>
      </c>
      <c r="F701" t="s">
        <v>18</v>
      </c>
      <c r="G701" t="s">
        <v>18</v>
      </c>
      <c r="H701" t="e">
        <f t="shared" si="20"/>
        <v>#VALUE!</v>
      </c>
      <c r="I701" t="str">
        <f t="shared" si="21"/>
        <v>-</v>
      </c>
    </row>
    <row r="702" spans="1:9" x14ac:dyDescent="0.2">
      <c r="A702">
        <v>227009</v>
      </c>
      <c r="B702" t="s">
        <v>65</v>
      </c>
      <c r="C702" t="s">
        <v>8</v>
      </c>
      <c r="D702" t="s">
        <v>66</v>
      </c>
      <c r="E702">
        <v>27167</v>
      </c>
      <c r="F702">
        <v>3.32</v>
      </c>
      <c r="G702" t="s">
        <v>67</v>
      </c>
      <c r="H702" t="e">
        <f t="shared" si="20"/>
        <v>#VALUE!</v>
      </c>
      <c r="I702" t="str">
        <f t="shared" si="21"/>
        <v>-</v>
      </c>
    </row>
    <row r="703" spans="1:9" x14ac:dyDescent="0.2">
      <c r="A703">
        <v>227391</v>
      </c>
      <c r="B703" t="s">
        <v>68</v>
      </c>
      <c r="C703" t="s">
        <v>8</v>
      </c>
      <c r="D703" t="s">
        <v>69</v>
      </c>
      <c r="E703" t="s">
        <v>18</v>
      </c>
      <c r="F703" t="s">
        <v>18</v>
      </c>
      <c r="G703" t="s">
        <v>18</v>
      </c>
      <c r="H703" t="e">
        <f t="shared" si="20"/>
        <v>#VALUE!</v>
      </c>
      <c r="I703" t="str">
        <f t="shared" si="21"/>
        <v>-</v>
      </c>
    </row>
    <row r="704" spans="1:9" x14ac:dyDescent="0.2">
      <c r="A704">
        <v>227583</v>
      </c>
      <c r="B704" t="s">
        <v>7</v>
      </c>
      <c r="C704" t="s">
        <v>8</v>
      </c>
      <c r="D704" t="s">
        <v>9</v>
      </c>
      <c r="E704">
        <v>163</v>
      </c>
      <c r="F704">
        <v>103</v>
      </c>
      <c r="G704" t="s">
        <v>10</v>
      </c>
      <c r="H704" t="e">
        <f t="shared" si="20"/>
        <v>#VALUE!</v>
      </c>
      <c r="I704" t="str">
        <f t="shared" si="21"/>
        <v>-</v>
      </c>
    </row>
    <row r="705" spans="1:9" x14ac:dyDescent="0.2">
      <c r="A705">
        <v>227775</v>
      </c>
      <c r="B705" t="s">
        <v>11</v>
      </c>
      <c r="C705" t="s">
        <v>8</v>
      </c>
      <c r="D705" t="s">
        <v>12</v>
      </c>
      <c r="E705">
        <v>202</v>
      </c>
      <c r="F705">
        <v>103.5</v>
      </c>
      <c r="G705" t="s">
        <v>10</v>
      </c>
      <c r="H705" t="e">
        <f t="shared" si="20"/>
        <v>#VALUE!</v>
      </c>
      <c r="I705" t="str">
        <f t="shared" si="21"/>
        <v>-</v>
      </c>
    </row>
    <row r="706" spans="1:9" x14ac:dyDescent="0.2">
      <c r="A706">
        <v>227987</v>
      </c>
      <c r="B706" t="s">
        <v>13</v>
      </c>
      <c r="C706" t="s">
        <v>8</v>
      </c>
      <c r="D706" t="s">
        <v>14</v>
      </c>
      <c r="E706">
        <v>26029</v>
      </c>
      <c r="F706">
        <v>1016.76</v>
      </c>
      <c r="G706" t="s">
        <v>15</v>
      </c>
      <c r="H706" t="str">
        <f t="shared" si="20"/>
        <v>PSI</v>
      </c>
      <c r="I706">
        <f t="shared" si="21"/>
        <v>14.746857021456751</v>
      </c>
    </row>
    <row r="707" spans="1:9" x14ac:dyDescent="0.2">
      <c r="A707">
        <v>228370</v>
      </c>
      <c r="B707" t="s">
        <v>16</v>
      </c>
      <c r="C707" t="s">
        <v>8</v>
      </c>
      <c r="D707" t="s">
        <v>17</v>
      </c>
      <c r="E707" t="s">
        <v>18</v>
      </c>
      <c r="F707" t="s">
        <v>18</v>
      </c>
      <c r="G707" t="s">
        <v>18</v>
      </c>
      <c r="H707" t="e">
        <f t="shared" ref="H707:H770" si="22">IF(FIND("Pa",G707,1),"PSI","-")</f>
        <v>#VALUE!</v>
      </c>
      <c r="I707" t="str">
        <f t="shared" ref="I707:I770" si="23">IF(G707="hPa",CONVERT(F707*100,"Pa","psi"), IF(G707="MPa",CONVERT(F707*1000000,"Pa","psi"),"-"))</f>
        <v>-</v>
      </c>
    </row>
    <row r="708" spans="1:9" x14ac:dyDescent="0.2">
      <c r="A708">
        <v>228582</v>
      </c>
      <c r="B708" t="s">
        <v>19</v>
      </c>
      <c r="C708" t="s">
        <v>8</v>
      </c>
      <c r="D708" t="s">
        <v>20</v>
      </c>
      <c r="E708">
        <v>12947</v>
      </c>
      <c r="F708">
        <v>1011.48</v>
      </c>
      <c r="G708" t="s">
        <v>15</v>
      </c>
      <c r="H708" t="str">
        <f t="shared" si="22"/>
        <v>PSI</v>
      </c>
      <c r="I708">
        <f t="shared" si="23"/>
        <v>14.670277095935202</v>
      </c>
    </row>
    <row r="709" spans="1:9" x14ac:dyDescent="0.2">
      <c r="A709">
        <v>228784</v>
      </c>
      <c r="B709" t="s">
        <v>21</v>
      </c>
      <c r="C709" t="s">
        <v>8</v>
      </c>
      <c r="D709" t="s">
        <v>22</v>
      </c>
      <c r="E709">
        <v>3195</v>
      </c>
      <c r="F709">
        <v>798.75</v>
      </c>
      <c r="G709" t="s">
        <v>23</v>
      </c>
      <c r="H709" t="e">
        <f t="shared" si="22"/>
        <v>#VALUE!</v>
      </c>
      <c r="I709" t="str">
        <f t="shared" si="23"/>
        <v>-</v>
      </c>
    </row>
    <row r="710" spans="1:9" x14ac:dyDescent="0.2">
      <c r="A710">
        <v>228976</v>
      </c>
      <c r="B710" t="s">
        <v>24</v>
      </c>
      <c r="C710" t="s">
        <v>8</v>
      </c>
      <c r="D710" t="s">
        <v>25</v>
      </c>
      <c r="E710">
        <v>2</v>
      </c>
      <c r="F710">
        <v>2</v>
      </c>
      <c r="G710" t="s">
        <v>26</v>
      </c>
      <c r="H710" t="e">
        <f t="shared" si="22"/>
        <v>#VALUE!</v>
      </c>
      <c r="I710" t="str">
        <f t="shared" si="23"/>
        <v>-</v>
      </c>
    </row>
    <row r="711" spans="1:9" x14ac:dyDescent="0.2">
      <c r="A711">
        <v>229188</v>
      </c>
      <c r="B711" t="s">
        <v>27</v>
      </c>
      <c r="C711" t="s">
        <v>8</v>
      </c>
      <c r="D711" t="s">
        <v>28</v>
      </c>
      <c r="E711">
        <v>598</v>
      </c>
      <c r="F711">
        <v>14.04</v>
      </c>
      <c r="G711" t="s">
        <v>29</v>
      </c>
      <c r="H711" t="e">
        <f t="shared" si="22"/>
        <v>#VALUE!</v>
      </c>
      <c r="I711" t="str">
        <f t="shared" si="23"/>
        <v>-</v>
      </c>
    </row>
    <row r="712" spans="1:9" x14ac:dyDescent="0.2">
      <c r="A712">
        <v>229400</v>
      </c>
      <c r="B712" t="s">
        <v>30</v>
      </c>
      <c r="C712" t="s">
        <v>8</v>
      </c>
      <c r="D712" t="s">
        <v>31</v>
      </c>
      <c r="E712">
        <v>3121</v>
      </c>
      <c r="F712">
        <v>3121</v>
      </c>
      <c r="G712" t="s">
        <v>15</v>
      </c>
      <c r="H712" t="str">
        <f t="shared" si="22"/>
        <v>PSI</v>
      </c>
      <c r="I712">
        <f t="shared" si="23"/>
        <v>45.266277945598297</v>
      </c>
    </row>
    <row r="713" spans="1:9" x14ac:dyDescent="0.2">
      <c r="A713">
        <v>229602</v>
      </c>
      <c r="B713" t="s">
        <v>32</v>
      </c>
      <c r="C713" t="s">
        <v>8</v>
      </c>
      <c r="D713" t="s">
        <v>33</v>
      </c>
      <c r="E713">
        <v>3789</v>
      </c>
      <c r="F713">
        <v>0.93</v>
      </c>
      <c r="G713" t="s">
        <v>26</v>
      </c>
      <c r="H713" t="e">
        <f t="shared" si="22"/>
        <v>#VALUE!</v>
      </c>
      <c r="I713" t="str">
        <f t="shared" si="23"/>
        <v>-</v>
      </c>
    </row>
    <row r="714" spans="1:9" x14ac:dyDescent="0.2">
      <c r="A714">
        <v>229814</v>
      </c>
      <c r="B714" t="s">
        <v>34</v>
      </c>
      <c r="C714" t="s">
        <v>8</v>
      </c>
      <c r="D714" t="s">
        <v>35</v>
      </c>
      <c r="E714">
        <v>3740</v>
      </c>
      <c r="F714">
        <v>0.91</v>
      </c>
      <c r="G714" t="s">
        <v>26</v>
      </c>
      <c r="H714" t="e">
        <f t="shared" si="22"/>
        <v>#VALUE!</v>
      </c>
      <c r="I714" t="str">
        <f t="shared" si="23"/>
        <v>-</v>
      </c>
    </row>
    <row r="715" spans="1:9" x14ac:dyDescent="0.2">
      <c r="A715">
        <v>230196</v>
      </c>
      <c r="B715" t="s">
        <v>36</v>
      </c>
      <c r="C715" t="s">
        <v>8</v>
      </c>
      <c r="D715" t="s">
        <v>37</v>
      </c>
      <c r="E715" t="s">
        <v>18</v>
      </c>
      <c r="F715" t="s">
        <v>18</v>
      </c>
      <c r="G715" t="s">
        <v>18</v>
      </c>
      <c r="H715" t="e">
        <f t="shared" si="22"/>
        <v>#VALUE!</v>
      </c>
      <c r="I715" t="str">
        <f t="shared" si="23"/>
        <v>-</v>
      </c>
    </row>
    <row r="716" spans="1:9" x14ac:dyDescent="0.2">
      <c r="A716">
        <v>230578</v>
      </c>
      <c r="B716" t="s">
        <v>38</v>
      </c>
      <c r="C716" t="s">
        <v>8</v>
      </c>
      <c r="D716" t="s">
        <v>39</v>
      </c>
      <c r="E716" t="s">
        <v>18</v>
      </c>
      <c r="F716" t="s">
        <v>18</v>
      </c>
      <c r="G716" t="s">
        <v>18</v>
      </c>
      <c r="H716" t="e">
        <f t="shared" si="22"/>
        <v>#VALUE!</v>
      </c>
      <c r="I716" t="str">
        <f t="shared" si="23"/>
        <v>-</v>
      </c>
    </row>
    <row r="717" spans="1:9" x14ac:dyDescent="0.2">
      <c r="A717">
        <v>230960</v>
      </c>
      <c r="B717" t="s">
        <v>40</v>
      </c>
      <c r="C717" t="s">
        <v>8</v>
      </c>
      <c r="D717" t="s">
        <v>41</v>
      </c>
      <c r="E717" t="s">
        <v>18</v>
      </c>
      <c r="F717" t="s">
        <v>18</v>
      </c>
      <c r="G717" t="s">
        <v>18</v>
      </c>
      <c r="H717" t="e">
        <f t="shared" si="22"/>
        <v>#VALUE!</v>
      </c>
      <c r="I717" t="str">
        <f t="shared" si="23"/>
        <v>-</v>
      </c>
    </row>
    <row r="718" spans="1:9" x14ac:dyDescent="0.2">
      <c r="A718">
        <v>231172</v>
      </c>
      <c r="B718" t="s">
        <v>42</v>
      </c>
      <c r="C718" t="s">
        <v>8</v>
      </c>
      <c r="D718" t="s">
        <v>43</v>
      </c>
      <c r="E718">
        <v>10482</v>
      </c>
      <c r="F718">
        <v>5.24</v>
      </c>
      <c r="G718" t="s">
        <v>44</v>
      </c>
      <c r="H718" t="str">
        <f t="shared" si="22"/>
        <v>PSI</v>
      </c>
      <c r="I718">
        <f t="shared" si="23"/>
        <v>759.9977457062962</v>
      </c>
    </row>
    <row r="719" spans="1:9" x14ac:dyDescent="0.2">
      <c r="A719">
        <v>231364</v>
      </c>
      <c r="B719" t="s">
        <v>45</v>
      </c>
      <c r="C719" t="s">
        <v>8</v>
      </c>
      <c r="D719" t="s">
        <v>46</v>
      </c>
      <c r="E719">
        <v>12</v>
      </c>
      <c r="F719">
        <v>12</v>
      </c>
      <c r="G719" t="s">
        <v>15</v>
      </c>
      <c r="H719" t="str">
        <f t="shared" si="22"/>
        <v>PSI</v>
      </c>
      <c r="I719">
        <f t="shared" si="23"/>
        <v>0.17404528527625104</v>
      </c>
    </row>
    <row r="720" spans="1:9" x14ac:dyDescent="0.2">
      <c r="A720">
        <v>231576</v>
      </c>
      <c r="B720" t="s">
        <v>47</v>
      </c>
      <c r="C720" t="s">
        <v>8</v>
      </c>
      <c r="D720" t="s">
        <v>48</v>
      </c>
      <c r="E720">
        <v>1975</v>
      </c>
      <c r="F720">
        <v>197.5</v>
      </c>
      <c r="G720" t="s">
        <v>49</v>
      </c>
      <c r="H720" t="e">
        <f t="shared" si="22"/>
        <v>#VALUE!</v>
      </c>
      <c r="I720" t="str">
        <f t="shared" si="23"/>
        <v>-</v>
      </c>
    </row>
    <row r="721" spans="1:9" x14ac:dyDescent="0.2">
      <c r="A721">
        <v>231788</v>
      </c>
      <c r="B721" t="s">
        <v>50</v>
      </c>
      <c r="C721" t="s">
        <v>8</v>
      </c>
      <c r="D721" t="s">
        <v>51</v>
      </c>
      <c r="E721">
        <v>24589</v>
      </c>
      <c r="F721">
        <v>960.51</v>
      </c>
      <c r="G721" t="s">
        <v>15</v>
      </c>
      <c r="H721" t="str">
        <f t="shared" si="22"/>
        <v>PSI</v>
      </c>
      <c r="I721">
        <f t="shared" si="23"/>
        <v>13.931019746724324</v>
      </c>
    </row>
    <row r="722" spans="1:9" x14ac:dyDescent="0.2">
      <c r="A722">
        <v>231980</v>
      </c>
      <c r="B722" t="s">
        <v>52</v>
      </c>
      <c r="C722" t="s">
        <v>8</v>
      </c>
      <c r="D722" t="s">
        <v>53</v>
      </c>
      <c r="E722">
        <v>99</v>
      </c>
      <c r="F722">
        <v>26.25</v>
      </c>
      <c r="G722" t="s">
        <v>10</v>
      </c>
      <c r="H722" t="e">
        <f t="shared" si="22"/>
        <v>#VALUE!</v>
      </c>
      <c r="I722" t="str">
        <f t="shared" si="23"/>
        <v>-</v>
      </c>
    </row>
    <row r="723" spans="1:9" x14ac:dyDescent="0.2">
      <c r="A723">
        <v>232162</v>
      </c>
      <c r="B723" t="s">
        <v>54</v>
      </c>
      <c r="C723" t="s">
        <v>8</v>
      </c>
      <c r="D723" t="s">
        <v>55</v>
      </c>
      <c r="E723">
        <v>3</v>
      </c>
      <c r="F723">
        <v>12</v>
      </c>
      <c r="G723" t="s">
        <v>56</v>
      </c>
      <c r="H723" t="e">
        <f t="shared" si="22"/>
        <v>#VALUE!</v>
      </c>
      <c r="I723" t="str">
        <f t="shared" si="23"/>
        <v>-</v>
      </c>
    </row>
    <row r="724" spans="1:9" x14ac:dyDescent="0.2">
      <c r="A724">
        <v>232544</v>
      </c>
      <c r="B724" t="s">
        <v>57</v>
      </c>
      <c r="C724" t="s">
        <v>8</v>
      </c>
      <c r="D724" t="s">
        <v>58</v>
      </c>
      <c r="E724" t="s">
        <v>18</v>
      </c>
      <c r="F724" t="s">
        <v>18</v>
      </c>
      <c r="G724" t="s">
        <v>18</v>
      </c>
      <c r="H724" t="e">
        <f t="shared" si="22"/>
        <v>#VALUE!</v>
      </c>
      <c r="I724" t="str">
        <f t="shared" si="23"/>
        <v>-</v>
      </c>
    </row>
    <row r="725" spans="1:9" x14ac:dyDescent="0.2">
      <c r="A725">
        <v>232926</v>
      </c>
      <c r="B725" t="s">
        <v>59</v>
      </c>
      <c r="C725" t="s">
        <v>8</v>
      </c>
      <c r="D725" t="s">
        <v>60</v>
      </c>
      <c r="E725" t="s">
        <v>18</v>
      </c>
      <c r="F725" t="s">
        <v>18</v>
      </c>
      <c r="G725" t="s">
        <v>18</v>
      </c>
      <c r="H725" t="e">
        <f t="shared" si="22"/>
        <v>#VALUE!</v>
      </c>
      <c r="I725" t="str">
        <f t="shared" si="23"/>
        <v>-</v>
      </c>
    </row>
    <row r="726" spans="1:9" x14ac:dyDescent="0.2">
      <c r="A726">
        <v>233308</v>
      </c>
      <c r="B726" t="s">
        <v>61</v>
      </c>
      <c r="C726" t="s">
        <v>8</v>
      </c>
      <c r="D726" t="s">
        <v>62</v>
      </c>
      <c r="E726" t="s">
        <v>18</v>
      </c>
      <c r="F726" t="s">
        <v>18</v>
      </c>
      <c r="G726" t="s">
        <v>18</v>
      </c>
      <c r="H726" t="e">
        <f t="shared" si="22"/>
        <v>#VALUE!</v>
      </c>
      <c r="I726" t="str">
        <f t="shared" si="23"/>
        <v>-</v>
      </c>
    </row>
    <row r="727" spans="1:9" x14ac:dyDescent="0.2">
      <c r="A727">
        <v>233690</v>
      </c>
      <c r="B727" t="s">
        <v>63</v>
      </c>
      <c r="C727" t="s">
        <v>8</v>
      </c>
      <c r="D727" t="s">
        <v>64</v>
      </c>
      <c r="E727" t="s">
        <v>18</v>
      </c>
      <c r="F727" t="s">
        <v>18</v>
      </c>
      <c r="G727" t="s">
        <v>18</v>
      </c>
      <c r="H727" t="e">
        <f t="shared" si="22"/>
        <v>#VALUE!</v>
      </c>
      <c r="I727" t="str">
        <f t="shared" si="23"/>
        <v>-</v>
      </c>
    </row>
    <row r="728" spans="1:9" x14ac:dyDescent="0.2">
      <c r="A728">
        <v>233942</v>
      </c>
      <c r="B728" t="s">
        <v>65</v>
      </c>
      <c r="C728" t="s">
        <v>8</v>
      </c>
      <c r="D728" t="s">
        <v>66</v>
      </c>
      <c r="E728">
        <v>27180</v>
      </c>
      <c r="F728">
        <v>3.32</v>
      </c>
      <c r="G728" t="s">
        <v>67</v>
      </c>
      <c r="H728" t="e">
        <f t="shared" si="22"/>
        <v>#VALUE!</v>
      </c>
      <c r="I728" t="str">
        <f t="shared" si="23"/>
        <v>-</v>
      </c>
    </row>
    <row r="729" spans="1:9" x14ac:dyDescent="0.2">
      <c r="A729">
        <v>234314</v>
      </c>
      <c r="B729" t="s">
        <v>68</v>
      </c>
      <c r="C729" t="s">
        <v>8</v>
      </c>
      <c r="D729" t="s">
        <v>69</v>
      </c>
      <c r="E729" t="s">
        <v>18</v>
      </c>
      <c r="F729" t="s">
        <v>18</v>
      </c>
      <c r="G729" t="s">
        <v>18</v>
      </c>
      <c r="H729" t="e">
        <f t="shared" si="22"/>
        <v>#VALUE!</v>
      </c>
      <c r="I729" t="str">
        <f t="shared" si="23"/>
        <v>-</v>
      </c>
    </row>
    <row r="730" spans="1:9" x14ac:dyDescent="0.2">
      <c r="A730">
        <v>234516</v>
      </c>
      <c r="B730" t="s">
        <v>7</v>
      </c>
      <c r="C730" t="s">
        <v>8</v>
      </c>
      <c r="D730" t="s">
        <v>9</v>
      </c>
      <c r="E730">
        <v>163</v>
      </c>
      <c r="F730">
        <v>103</v>
      </c>
      <c r="G730" t="s">
        <v>10</v>
      </c>
      <c r="H730" t="e">
        <f t="shared" si="22"/>
        <v>#VALUE!</v>
      </c>
      <c r="I730" t="str">
        <f t="shared" si="23"/>
        <v>-</v>
      </c>
    </row>
    <row r="731" spans="1:9" x14ac:dyDescent="0.2">
      <c r="A731">
        <v>234708</v>
      </c>
      <c r="B731" t="s">
        <v>11</v>
      </c>
      <c r="C731" t="s">
        <v>8</v>
      </c>
      <c r="D731" t="s">
        <v>12</v>
      </c>
      <c r="E731">
        <v>202</v>
      </c>
      <c r="F731">
        <v>103.5</v>
      </c>
      <c r="G731" t="s">
        <v>10</v>
      </c>
      <c r="H731" t="e">
        <f t="shared" si="22"/>
        <v>#VALUE!</v>
      </c>
      <c r="I731" t="str">
        <f t="shared" si="23"/>
        <v>-</v>
      </c>
    </row>
    <row r="732" spans="1:9" x14ac:dyDescent="0.2">
      <c r="A732">
        <v>234930</v>
      </c>
      <c r="B732" t="s">
        <v>13</v>
      </c>
      <c r="C732" t="s">
        <v>8</v>
      </c>
      <c r="D732" t="s">
        <v>14</v>
      </c>
      <c r="E732">
        <v>26029</v>
      </c>
      <c r="F732">
        <v>1016.76</v>
      </c>
      <c r="G732" t="s">
        <v>15</v>
      </c>
      <c r="H732" t="str">
        <f t="shared" si="22"/>
        <v>PSI</v>
      </c>
      <c r="I732">
        <f t="shared" si="23"/>
        <v>14.746857021456751</v>
      </c>
    </row>
    <row r="733" spans="1:9" x14ac:dyDescent="0.2">
      <c r="A733">
        <v>235312</v>
      </c>
      <c r="B733" t="s">
        <v>16</v>
      </c>
      <c r="C733" t="s">
        <v>8</v>
      </c>
      <c r="D733" t="s">
        <v>17</v>
      </c>
      <c r="E733" t="s">
        <v>18</v>
      </c>
      <c r="F733" t="s">
        <v>18</v>
      </c>
      <c r="G733" t="s">
        <v>18</v>
      </c>
      <c r="H733" t="e">
        <f t="shared" si="22"/>
        <v>#VALUE!</v>
      </c>
      <c r="I733" t="str">
        <f t="shared" si="23"/>
        <v>-</v>
      </c>
    </row>
    <row r="734" spans="1:9" x14ac:dyDescent="0.2">
      <c r="A734">
        <v>235514</v>
      </c>
      <c r="B734" t="s">
        <v>19</v>
      </c>
      <c r="C734" t="s">
        <v>8</v>
      </c>
      <c r="D734" t="s">
        <v>20</v>
      </c>
      <c r="E734">
        <v>12960</v>
      </c>
      <c r="F734">
        <v>1012.5</v>
      </c>
      <c r="G734" t="s">
        <v>15</v>
      </c>
      <c r="H734" t="str">
        <f t="shared" si="22"/>
        <v>PSI</v>
      </c>
      <c r="I734">
        <f t="shared" si="23"/>
        <v>14.685070945183682</v>
      </c>
    </row>
    <row r="735" spans="1:9" x14ac:dyDescent="0.2">
      <c r="A735">
        <v>235726</v>
      </c>
      <c r="B735" t="s">
        <v>21</v>
      </c>
      <c r="C735" t="s">
        <v>8</v>
      </c>
      <c r="D735" t="s">
        <v>22</v>
      </c>
      <c r="E735">
        <v>3335</v>
      </c>
      <c r="F735">
        <v>833.75</v>
      </c>
      <c r="G735" t="s">
        <v>23</v>
      </c>
      <c r="H735" t="e">
        <f t="shared" si="22"/>
        <v>#VALUE!</v>
      </c>
      <c r="I735" t="str">
        <f t="shared" si="23"/>
        <v>-</v>
      </c>
    </row>
    <row r="736" spans="1:9" x14ac:dyDescent="0.2">
      <c r="A736">
        <v>235918</v>
      </c>
      <c r="B736" t="s">
        <v>24</v>
      </c>
      <c r="C736" t="s">
        <v>8</v>
      </c>
      <c r="D736" t="s">
        <v>25</v>
      </c>
      <c r="E736">
        <v>3</v>
      </c>
      <c r="F736">
        <v>3</v>
      </c>
      <c r="G736" t="s">
        <v>26</v>
      </c>
      <c r="H736" t="e">
        <f t="shared" si="22"/>
        <v>#VALUE!</v>
      </c>
      <c r="I736" t="str">
        <f t="shared" si="23"/>
        <v>-</v>
      </c>
    </row>
    <row r="737" spans="1:9" x14ac:dyDescent="0.2">
      <c r="A737">
        <v>236130</v>
      </c>
      <c r="B737" t="s">
        <v>27</v>
      </c>
      <c r="C737" t="s">
        <v>8</v>
      </c>
      <c r="D737" t="s">
        <v>28</v>
      </c>
      <c r="E737">
        <v>604</v>
      </c>
      <c r="F737">
        <v>14.18</v>
      </c>
      <c r="G737" t="s">
        <v>29</v>
      </c>
      <c r="H737" t="e">
        <f t="shared" si="22"/>
        <v>#VALUE!</v>
      </c>
      <c r="I737" t="str">
        <f t="shared" si="23"/>
        <v>-</v>
      </c>
    </row>
    <row r="738" spans="1:9" x14ac:dyDescent="0.2">
      <c r="A738">
        <v>236343</v>
      </c>
      <c r="B738" t="s">
        <v>30</v>
      </c>
      <c r="C738" t="s">
        <v>8</v>
      </c>
      <c r="D738" t="s">
        <v>31</v>
      </c>
      <c r="E738">
        <v>2660</v>
      </c>
      <c r="F738">
        <v>2660</v>
      </c>
      <c r="G738" t="s">
        <v>15</v>
      </c>
      <c r="H738" t="str">
        <f t="shared" si="22"/>
        <v>PSI</v>
      </c>
      <c r="I738">
        <f t="shared" si="23"/>
        <v>38.580038236235652</v>
      </c>
    </row>
    <row r="739" spans="1:9" x14ac:dyDescent="0.2">
      <c r="A739">
        <v>236555</v>
      </c>
      <c r="B739" t="s">
        <v>32</v>
      </c>
      <c r="C739" t="s">
        <v>8</v>
      </c>
      <c r="D739" t="s">
        <v>33</v>
      </c>
      <c r="E739">
        <v>17</v>
      </c>
      <c r="F739">
        <v>0</v>
      </c>
      <c r="G739" t="s">
        <v>26</v>
      </c>
      <c r="H739" t="e">
        <f t="shared" si="22"/>
        <v>#VALUE!</v>
      </c>
      <c r="I739" t="str">
        <f t="shared" si="23"/>
        <v>-</v>
      </c>
    </row>
    <row r="740" spans="1:9" x14ac:dyDescent="0.2">
      <c r="A740">
        <v>236767</v>
      </c>
      <c r="B740" t="s">
        <v>34</v>
      </c>
      <c r="C740" t="s">
        <v>8</v>
      </c>
      <c r="D740" t="s">
        <v>35</v>
      </c>
      <c r="E740">
        <v>4135</v>
      </c>
      <c r="F740">
        <v>1.01</v>
      </c>
      <c r="G740" t="s">
        <v>26</v>
      </c>
      <c r="H740" t="e">
        <f t="shared" si="22"/>
        <v>#VALUE!</v>
      </c>
      <c r="I740" t="str">
        <f t="shared" si="23"/>
        <v>-</v>
      </c>
    </row>
    <row r="741" spans="1:9" x14ac:dyDescent="0.2">
      <c r="A741">
        <v>237149</v>
      </c>
      <c r="B741" t="s">
        <v>36</v>
      </c>
      <c r="C741" t="s">
        <v>8</v>
      </c>
      <c r="D741" t="s">
        <v>37</v>
      </c>
      <c r="E741" t="s">
        <v>18</v>
      </c>
      <c r="F741" t="s">
        <v>18</v>
      </c>
      <c r="G741" t="s">
        <v>18</v>
      </c>
      <c r="H741" t="e">
        <f t="shared" si="22"/>
        <v>#VALUE!</v>
      </c>
      <c r="I741" t="str">
        <f t="shared" si="23"/>
        <v>-</v>
      </c>
    </row>
    <row r="742" spans="1:9" x14ac:dyDescent="0.2">
      <c r="A742">
        <v>237531</v>
      </c>
      <c r="B742" t="s">
        <v>38</v>
      </c>
      <c r="C742" t="s">
        <v>8</v>
      </c>
      <c r="D742" t="s">
        <v>39</v>
      </c>
      <c r="E742" t="s">
        <v>18</v>
      </c>
      <c r="F742" t="s">
        <v>18</v>
      </c>
      <c r="G742" t="s">
        <v>18</v>
      </c>
      <c r="H742" t="e">
        <f t="shared" si="22"/>
        <v>#VALUE!</v>
      </c>
      <c r="I742" t="str">
        <f t="shared" si="23"/>
        <v>-</v>
      </c>
    </row>
    <row r="743" spans="1:9" x14ac:dyDescent="0.2">
      <c r="A743">
        <v>237913</v>
      </c>
      <c r="B743" t="s">
        <v>40</v>
      </c>
      <c r="C743" t="s">
        <v>8</v>
      </c>
      <c r="D743" t="s">
        <v>41</v>
      </c>
      <c r="E743" t="s">
        <v>18</v>
      </c>
      <c r="F743" t="s">
        <v>18</v>
      </c>
      <c r="G743" t="s">
        <v>18</v>
      </c>
      <c r="H743" t="e">
        <f t="shared" si="22"/>
        <v>#VALUE!</v>
      </c>
      <c r="I743" t="str">
        <f t="shared" si="23"/>
        <v>-</v>
      </c>
    </row>
    <row r="744" spans="1:9" x14ac:dyDescent="0.2">
      <c r="A744">
        <v>238135</v>
      </c>
      <c r="B744" t="s">
        <v>42</v>
      </c>
      <c r="C744" t="s">
        <v>8</v>
      </c>
      <c r="D744" t="s">
        <v>43</v>
      </c>
      <c r="E744">
        <v>10600</v>
      </c>
      <c r="F744">
        <v>5.3</v>
      </c>
      <c r="G744" t="s">
        <v>44</v>
      </c>
      <c r="H744" t="str">
        <f t="shared" si="22"/>
        <v>PSI</v>
      </c>
      <c r="I744">
        <f t="shared" si="23"/>
        <v>768.70000997010879</v>
      </c>
    </row>
    <row r="745" spans="1:9" x14ac:dyDescent="0.2">
      <c r="A745">
        <v>238327</v>
      </c>
      <c r="B745" t="s">
        <v>45</v>
      </c>
      <c r="C745" t="s">
        <v>8</v>
      </c>
      <c r="D745" t="s">
        <v>46</v>
      </c>
      <c r="E745">
        <v>1</v>
      </c>
      <c r="F745">
        <v>1</v>
      </c>
      <c r="G745" t="s">
        <v>15</v>
      </c>
      <c r="H745" t="str">
        <f t="shared" si="22"/>
        <v>PSI</v>
      </c>
      <c r="I745">
        <f t="shared" si="23"/>
        <v>1.4503773773020921E-2</v>
      </c>
    </row>
    <row r="746" spans="1:9" x14ac:dyDescent="0.2">
      <c r="A746">
        <v>238539</v>
      </c>
      <c r="B746" t="s">
        <v>47</v>
      </c>
      <c r="C746" t="s">
        <v>8</v>
      </c>
      <c r="D746" t="s">
        <v>48</v>
      </c>
      <c r="E746">
        <v>2045</v>
      </c>
      <c r="F746">
        <v>204.5</v>
      </c>
      <c r="G746" t="s">
        <v>49</v>
      </c>
      <c r="H746" t="e">
        <f t="shared" si="22"/>
        <v>#VALUE!</v>
      </c>
      <c r="I746" t="str">
        <f t="shared" si="23"/>
        <v>-</v>
      </c>
    </row>
    <row r="747" spans="1:9" x14ac:dyDescent="0.2">
      <c r="A747">
        <v>238751</v>
      </c>
      <c r="B747" t="s">
        <v>50</v>
      </c>
      <c r="C747" t="s">
        <v>8</v>
      </c>
      <c r="D747" t="s">
        <v>51</v>
      </c>
      <c r="E747">
        <v>24596</v>
      </c>
      <c r="F747">
        <v>960.78</v>
      </c>
      <c r="G747" t="s">
        <v>15</v>
      </c>
      <c r="H747" t="str">
        <f t="shared" si="22"/>
        <v>PSI</v>
      </c>
      <c r="I747">
        <f t="shared" si="23"/>
        <v>13.93493576564304</v>
      </c>
    </row>
    <row r="748" spans="1:9" x14ac:dyDescent="0.2">
      <c r="A748">
        <v>238933</v>
      </c>
      <c r="B748" t="s">
        <v>52</v>
      </c>
      <c r="C748" t="s">
        <v>8</v>
      </c>
      <c r="D748" t="s">
        <v>53</v>
      </c>
      <c r="E748">
        <v>100</v>
      </c>
      <c r="F748">
        <v>27</v>
      </c>
      <c r="G748" t="s">
        <v>10</v>
      </c>
      <c r="H748" t="e">
        <f t="shared" si="22"/>
        <v>#VALUE!</v>
      </c>
      <c r="I748" t="str">
        <f t="shared" si="23"/>
        <v>-</v>
      </c>
    </row>
    <row r="749" spans="1:9" x14ac:dyDescent="0.2">
      <c r="A749">
        <v>239125</v>
      </c>
      <c r="B749" t="s">
        <v>54</v>
      </c>
      <c r="C749" t="s">
        <v>8</v>
      </c>
      <c r="D749" t="s">
        <v>55</v>
      </c>
      <c r="E749">
        <v>2</v>
      </c>
      <c r="F749">
        <v>8</v>
      </c>
      <c r="G749" t="s">
        <v>56</v>
      </c>
      <c r="H749" t="e">
        <f t="shared" si="22"/>
        <v>#VALUE!</v>
      </c>
      <c r="I749" t="str">
        <f t="shared" si="23"/>
        <v>-</v>
      </c>
    </row>
    <row r="750" spans="1:9" x14ac:dyDescent="0.2">
      <c r="A750">
        <v>239507</v>
      </c>
      <c r="B750" t="s">
        <v>57</v>
      </c>
      <c r="C750" t="s">
        <v>8</v>
      </c>
      <c r="D750" t="s">
        <v>58</v>
      </c>
      <c r="E750" t="s">
        <v>18</v>
      </c>
      <c r="F750" t="s">
        <v>18</v>
      </c>
      <c r="G750" t="s">
        <v>18</v>
      </c>
      <c r="H750" t="e">
        <f t="shared" si="22"/>
        <v>#VALUE!</v>
      </c>
      <c r="I750" t="str">
        <f t="shared" si="23"/>
        <v>-</v>
      </c>
    </row>
    <row r="751" spans="1:9" x14ac:dyDescent="0.2">
      <c r="A751">
        <v>239889</v>
      </c>
      <c r="B751" t="s">
        <v>59</v>
      </c>
      <c r="C751" t="s">
        <v>8</v>
      </c>
      <c r="D751" t="s">
        <v>60</v>
      </c>
      <c r="E751" t="s">
        <v>18</v>
      </c>
      <c r="F751" t="s">
        <v>18</v>
      </c>
      <c r="G751" t="s">
        <v>18</v>
      </c>
      <c r="H751" t="e">
        <f t="shared" si="22"/>
        <v>#VALUE!</v>
      </c>
      <c r="I751" t="str">
        <f t="shared" si="23"/>
        <v>-</v>
      </c>
    </row>
    <row r="752" spans="1:9" x14ac:dyDescent="0.2">
      <c r="A752">
        <v>240271</v>
      </c>
      <c r="B752" t="s">
        <v>61</v>
      </c>
      <c r="C752" t="s">
        <v>8</v>
      </c>
      <c r="D752" t="s">
        <v>62</v>
      </c>
      <c r="E752" t="s">
        <v>18</v>
      </c>
      <c r="F752" t="s">
        <v>18</v>
      </c>
      <c r="G752" t="s">
        <v>18</v>
      </c>
      <c r="H752" t="e">
        <f t="shared" si="22"/>
        <v>#VALUE!</v>
      </c>
      <c r="I752" t="str">
        <f t="shared" si="23"/>
        <v>-</v>
      </c>
    </row>
    <row r="753" spans="1:9" x14ac:dyDescent="0.2">
      <c r="A753">
        <v>240653</v>
      </c>
      <c r="B753" t="s">
        <v>63</v>
      </c>
      <c r="C753" t="s">
        <v>8</v>
      </c>
      <c r="D753" t="s">
        <v>64</v>
      </c>
      <c r="E753" t="s">
        <v>18</v>
      </c>
      <c r="F753" t="s">
        <v>18</v>
      </c>
      <c r="G753" t="s">
        <v>18</v>
      </c>
      <c r="H753" t="e">
        <f t="shared" si="22"/>
        <v>#VALUE!</v>
      </c>
      <c r="I753" t="str">
        <f t="shared" si="23"/>
        <v>-</v>
      </c>
    </row>
    <row r="754" spans="1:9" x14ac:dyDescent="0.2">
      <c r="A754">
        <v>240905</v>
      </c>
      <c r="B754" t="s">
        <v>65</v>
      </c>
      <c r="C754" t="s">
        <v>8</v>
      </c>
      <c r="D754" t="s">
        <v>66</v>
      </c>
      <c r="E754">
        <v>27193</v>
      </c>
      <c r="F754">
        <v>3.32</v>
      </c>
      <c r="G754" t="s">
        <v>67</v>
      </c>
      <c r="H754" t="e">
        <f t="shared" si="22"/>
        <v>#VALUE!</v>
      </c>
      <c r="I754" t="str">
        <f t="shared" si="23"/>
        <v>-</v>
      </c>
    </row>
    <row r="755" spans="1:9" x14ac:dyDescent="0.2">
      <c r="A755">
        <v>241277</v>
      </c>
      <c r="B755" t="s">
        <v>68</v>
      </c>
      <c r="C755" t="s">
        <v>8</v>
      </c>
      <c r="D755" t="s">
        <v>69</v>
      </c>
      <c r="E755" t="s">
        <v>18</v>
      </c>
      <c r="F755" t="s">
        <v>18</v>
      </c>
      <c r="G755" t="s">
        <v>18</v>
      </c>
      <c r="H755" t="e">
        <f t="shared" si="22"/>
        <v>#VALUE!</v>
      </c>
      <c r="I755" t="str">
        <f t="shared" si="23"/>
        <v>-</v>
      </c>
    </row>
    <row r="756" spans="1:9" x14ac:dyDescent="0.2">
      <c r="A756">
        <v>241479</v>
      </c>
      <c r="B756" t="s">
        <v>7</v>
      </c>
      <c r="C756" t="s">
        <v>8</v>
      </c>
      <c r="D756" t="s">
        <v>9</v>
      </c>
      <c r="E756">
        <v>163</v>
      </c>
      <c r="F756">
        <v>103</v>
      </c>
      <c r="G756" t="s">
        <v>10</v>
      </c>
      <c r="H756" t="e">
        <f t="shared" si="22"/>
        <v>#VALUE!</v>
      </c>
      <c r="I756" t="str">
        <f t="shared" si="23"/>
        <v>-</v>
      </c>
    </row>
    <row r="757" spans="1:9" x14ac:dyDescent="0.2">
      <c r="A757">
        <v>241661</v>
      </c>
      <c r="B757" t="s">
        <v>11</v>
      </c>
      <c r="C757" t="s">
        <v>8</v>
      </c>
      <c r="D757" t="s">
        <v>12</v>
      </c>
      <c r="E757">
        <v>202</v>
      </c>
      <c r="F757">
        <v>103.5</v>
      </c>
      <c r="G757" t="s">
        <v>10</v>
      </c>
      <c r="H757" t="e">
        <f t="shared" si="22"/>
        <v>#VALUE!</v>
      </c>
      <c r="I757" t="str">
        <f t="shared" si="23"/>
        <v>-</v>
      </c>
    </row>
    <row r="758" spans="1:9" x14ac:dyDescent="0.2">
      <c r="A758">
        <v>241873</v>
      </c>
      <c r="B758" t="s">
        <v>13</v>
      </c>
      <c r="C758" t="s">
        <v>8</v>
      </c>
      <c r="D758" t="s">
        <v>14</v>
      </c>
      <c r="E758">
        <v>26060</v>
      </c>
      <c r="F758">
        <v>1017.97</v>
      </c>
      <c r="G758" t="s">
        <v>15</v>
      </c>
      <c r="H758" t="str">
        <f t="shared" si="22"/>
        <v>PSI</v>
      </c>
      <c r="I758">
        <f t="shared" si="23"/>
        <v>14.764406587722107</v>
      </c>
    </row>
    <row r="759" spans="1:9" x14ac:dyDescent="0.2">
      <c r="A759">
        <v>242255</v>
      </c>
      <c r="B759" t="s">
        <v>16</v>
      </c>
      <c r="C759" t="s">
        <v>8</v>
      </c>
      <c r="D759" t="s">
        <v>17</v>
      </c>
      <c r="E759" t="s">
        <v>18</v>
      </c>
      <c r="F759" t="s">
        <v>18</v>
      </c>
      <c r="G759" t="s">
        <v>18</v>
      </c>
      <c r="H759" t="e">
        <f t="shared" si="22"/>
        <v>#VALUE!</v>
      </c>
      <c r="I759" t="str">
        <f t="shared" si="23"/>
        <v>-</v>
      </c>
    </row>
    <row r="760" spans="1:9" x14ac:dyDescent="0.2">
      <c r="A760">
        <v>242467</v>
      </c>
      <c r="B760" t="s">
        <v>19</v>
      </c>
      <c r="C760" t="s">
        <v>8</v>
      </c>
      <c r="D760" t="s">
        <v>20</v>
      </c>
      <c r="E760">
        <v>13093</v>
      </c>
      <c r="F760">
        <v>1022.89</v>
      </c>
      <c r="G760" t="s">
        <v>15</v>
      </c>
      <c r="H760" t="str">
        <f t="shared" si="22"/>
        <v>PSI</v>
      </c>
      <c r="I760">
        <f t="shared" si="23"/>
        <v>14.835765154685369</v>
      </c>
    </row>
    <row r="761" spans="1:9" x14ac:dyDescent="0.2">
      <c r="A761">
        <v>242680</v>
      </c>
      <c r="B761" t="s">
        <v>21</v>
      </c>
      <c r="C761" t="s">
        <v>8</v>
      </c>
      <c r="D761" t="s">
        <v>22</v>
      </c>
      <c r="E761">
        <v>4827</v>
      </c>
      <c r="F761">
        <v>1206.75</v>
      </c>
      <c r="G761" t="s">
        <v>23</v>
      </c>
      <c r="H761" t="e">
        <f t="shared" si="22"/>
        <v>#VALUE!</v>
      </c>
      <c r="I761" t="str">
        <f t="shared" si="23"/>
        <v>-</v>
      </c>
    </row>
    <row r="762" spans="1:9" x14ac:dyDescent="0.2">
      <c r="A762">
        <v>242872</v>
      </c>
      <c r="B762" t="s">
        <v>24</v>
      </c>
      <c r="C762" t="s">
        <v>8</v>
      </c>
      <c r="D762" t="s">
        <v>25</v>
      </c>
      <c r="E762">
        <v>5</v>
      </c>
      <c r="F762">
        <v>5</v>
      </c>
      <c r="G762" t="s">
        <v>26</v>
      </c>
      <c r="H762" t="e">
        <f t="shared" si="22"/>
        <v>#VALUE!</v>
      </c>
      <c r="I762" t="str">
        <f t="shared" si="23"/>
        <v>-</v>
      </c>
    </row>
    <row r="763" spans="1:9" x14ac:dyDescent="0.2">
      <c r="A763">
        <v>243104</v>
      </c>
      <c r="B763" t="s">
        <v>27</v>
      </c>
      <c r="C763" t="s">
        <v>8</v>
      </c>
      <c r="D763" t="s">
        <v>28</v>
      </c>
      <c r="E763">
        <v>602</v>
      </c>
      <c r="F763">
        <v>14.14</v>
      </c>
      <c r="G763" t="s">
        <v>29</v>
      </c>
      <c r="H763" t="e">
        <f t="shared" si="22"/>
        <v>#VALUE!</v>
      </c>
      <c r="I763" t="str">
        <f t="shared" si="23"/>
        <v>-</v>
      </c>
    </row>
    <row r="764" spans="1:9" x14ac:dyDescent="0.2">
      <c r="A764">
        <v>243316</v>
      </c>
      <c r="B764" t="s">
        <v>30</v>
      </c>
      <c r="C764" t="s">
        <v>8</v>
      </c>
      <c r="D764" t="s">
        <v>31</v>
      </c>
      <c r="E764">
        <v>3530</v>
      </c>
      <c r="F764">
        <v>3530</v>
      </c>
      <c r="G764" t="s">
        <v>15</v>
      </c>
      <c r="H764" t="str">
        <f t="shared" si="22"/>
        <v>PSI</v>
      </c>
      <c r="I764">
        <f t="shared" si="23"/>
        <v>51.198321418763854</v>
      </c>
    </row>
    <row r="765" spans="1:9" x14ac:dyDescent="0.2">
      <c r="A765">
        <v>243528</v>
      </c>
      <c r="B765" t="s">
        <v>32</v>
      </c>
      <c r="C765" t="s">
        <v>8</v>
      </c>
      <c r="D765" t="s">
        <v>33</v>
      </c>
      <c r="E765">
        <v>4376</v>
      </c>
      <c r="F765">
        <v>1.07</v>
      </c>
      <c r="G765" t="s">
        <v>26</v>
      </c>
      <c r="H765" t="e">
        <f t="shared" si="22"/>
        <v>#VALUE!</v>
      </c>
      <c r="I765" t="str">
        <f t="shared" si="23"/>
        <v>-</v>
      </c>
    </row>
    <row r="766" spans="1:9" x14ac:dyDescent="0.2">
      <c r="A766">
        <v>243740</v>
      </c>
      <c r="B766" t="s">
        <v>34</v>
      </c>
      <c r="C766" t="s">
        <v>8</v>
      </c>
      <c r="D766" t="s">
        <v>35</v>
      </c>
      <c r="E766">
        <v>4314</v>
      </c>
      <c r="F766">
        <v>1.05</v>
      </c>
      <c r="G766" t="s">
        <v>26</v>
      </c>
      <c r="H766" t="e">
        <f t="shared" si="22"/>
        <v>#VALUE!</v>
      </c>
      <c r="I766" t="str">
        <f t="shared" si="23"/>
        <v>-</v>
      </c>
    </row>
    <row r="767" spans="1:9" x14ac:dyDescent="0.2">
      <c r="A767">
        <v>244122</v>
      </c>
      <c r="B767" t="s">
        <v>36</v>
      </c>
      <c r="C767" t="s">
        <v>8</v>
      </c>
      <c r="D767" t="s">
        <v>37</v>
      </c>
      <c r="E767" t="s">
        <v>18</v>
      </c>
      <c r="F767" t="s">
        <v>18</v>
      </c>
      <c r="G767" t="s">
        <v>18</v>
      </c>
      <c r="H767" t="e">
        <f t="shared" si="22"/>
        <v>#VALUE!</v>
      </c>
      <c r="I767" t="str">
        <f t="shared" si="23"/>
        <v>-</v>
      </c>
    </row>
    <row r="768" spans="1:9" x14ac:dyDescent="0.2">
      <c r="A768">
        <v>244504</v>
      </c>
      <c r="B768" t="s">
        <v>38</v>
      </c>
      <c r="C768" t="s">
        <v>8</v>
      </c>
      <c r="D768" t="s">
        <v>39</v>
      </c>
      <c r="E768" t="s">
        <v>18</v>
      </c>
      <c r="F768" t="s">
        <v>18</v>
      </c>
      <c r="G768" t="s">
        <v>18</v>
      </c>
      <c r="H768" t="e">
        <f t="shared" si="22"/>
        <v>#VALUE!</v>
      </c>
      <c r="I768" t="str">
        <f t="shared" si="23"/>
        <v>-</v>
      </c>
    </row>
    <row r="769" spans="1:9" x14ac:dyDescent="0.2">
      <c r="A769">
        <v>244886</v>
      </c>
      <c r="B769" t="s">
        <v>40</v>
      </c>
      <c r="C769" t="s">
        <v>8</v>
      </c>
      <c r="D769" t="s">
        <v>41</v>
      </c>
      <c r="E769" t="s">
        <v>18</v>
      </c>
      <c r="F769" t="s">
        <v>18</v>
      </c>
      <c r="G769" t="s">
        <v>18</v>
      </c>
      <c r="H769" t="e">
        <f t="shared" si="22"/>
        <v>#VALUE!</v>
      </c>
      <c r="I769" t="str">
        <f t="shared" si="23"/>
        <v>-</v>
      </c>
    </row>
    <row r="770" spans="1:9" x14ac:dyDescent="0.2">
      <c r="A770">
        <v>245098</v>
      </c>
      <c r="B770" t="s">
        <v>42</v>
      </c>
      <c r="C770" t="s">
        <v>8</v>
      </c>
      <c r="D770" t="s">
        <v>43</v>
      </c>
      <c r="E770">
        <v>10044</v>
      </c>
      <c r="F770">
        <v>5.0199999999999996</v>
      </c>
      <c r="G770" t="s">
        <v>44</v>
      </c>
      <c r="H770" t="str">
        <f t="shared" si="22"/>
        <v>PSI</v>
      </c>
      <c r="I770">
        <f t="shared" si="23"/>
        <v>728.08944340565017</v>
      </c>
    </row>
    <row r="771" spans="1:9" x14ac:dyDescent="0.2">
      <c r="A771">
        <v>245291</v>
      </c>
      <c r="B771" t="s">
        <v>45</v>
      </c>
      <c r="C771" t="s">
        <v>8</v>
      </c>
      <c r="D771" t="s">
        <v>46</v>
      </c>
      <c r="E771">
        <v>1</v>
      </c>
      <c r="F771">
        <v>1</v>
      </c>
      <c r="G771" t="s">
        <v>15</v>
      </c>
      <c r="H771" t="str">
        <f t="shared" ref="H771:H834" si="24">IF(FIND("Pa",G771,1),"PSI","-")</f>
        <v>PSI</v>
      </c>
      <c r="I771">
        <f t="shared" ref="I771:I834" si="25">IF(G771="hPa",CONVERT(F771*100,"Pa","psi"), IF(G771="MPa",CONVERT(F771*1000000,"Pa","psi"),"-"))</f>
        <v>1.4503773773020921E-2</v>
      </c>
    </row>
    <row r="772" spans="1:9" x14ac:dyDescent="0.2">
      <c r="A772">
        <v>245503</v>
      </c>
      <c r="B772" t="s">
        <v>47</v>
      </c>
      <c r="C772" t="s">
        <v>8</v>
      </c>
      <c r="D772" t="s">
        <v>48</v>
      </c>
      <c r="E772">
        <v>2114</v>
      </c>
      <c r="F772">
        <v>211.4</v>
      </c>
      <c r="G772" t="s">
        <v>49</v>
      </c>
      <c r="H772" t="e">
        <f t="shared" si="24"/>
        <v>#VALUE!</v>
      </c>
      <c r="I772" t="str">
        <f t="shared" si="25"/>
        <v>-</v>
      </c>
    </row>
    <row r="773" spans="1:9" x14ac:dyDescent="0.2">
      <c r="A773">
        <v>245715</v>
      </c>
      <c r="B773" t="s">
        <v>50</v>
      </c>
      <c r="C773" t="s">
        <v>8</v>
      </c>
      <c r="D773" t="s">
        <v>51</v>
      </c>
      <c r="E773">
        <v>24932</v>
      </c>
      <c r="F773">
        <v>973.91</v>
      </c>
      <c r="G773" t="s">
        <v>15</v>
      </c>
      <c r="H773" t="str">
        <f t="shared" si="24"/>
        <v>PSI</v>
      </c>
      <c r="I773">
        <f t="shared" si="25"/>
        <v>14.125370315282805</v>
      </c>
    </row>
    <row r="774" spans="1:9" x14ac:dyDescent="0.2">
      <c r="A774">
        <v>245917</v>
      </c>
      <c r="B774" t="s">
        <v>52</v>
      </c>
      <c r="C774" t="s">
        <v>8</v>
      </c>
      <c r="D774" t="s">
        <v>53</v>
      </c>
      <c r="E774">
        <v>100</v>
      </c>
      <c r="F774">
        <v>27</v>
      </c>
      <c r="G774" t="s">
        <v>10</v>
      </c>
      <c r="H774" t="e">
        <f t="shared" si="24"/>
        <v>#VALUE!</v>
      </c>
      <c r="I774" t="str">
        <f t="shared" si="25"/>
        <v>-</v>
      </c>
    </row>
    <row r="775" spans="1:9" x14ac:dyDescent="0.2">
      <c r="A775">
        <v>246109</v>
      </c>
      <c r="B775" t="s">
        <v>54</v>
      </c>
      <c r="C775" t="s">
        <v>8</v>
      </c>
      <c r="D775" t="s">
        <v>55</v>
      </c>
      <c r="E775">
        <v>3</v>
      </c>
      <c r="F775">
        <v>12</v>
      </c>
      <c r="G775" t="s">
        <v>56</v>
      </c>
      <c r="H775" t="e">
        <f t="shared" si="24"/>
        <v>#VALUE!</v>
      </c>
      <c r="I775" t="str">
        <f t="shared" si="25"/>
        <v>-</v>
      </c>
    </row>
    <row r="776" spans="1:9" x14ac:dyDescent="0.2">
      <c r="A776">
        <v>246481</v>
      </c>
      <c r="B776" t="s">
        <v>57</v>
      </c>
      <c r="C776" t="s">
        <v>8</v>
      </c>
      <c r="D776" t="s">
        <v>58</v>
      </c>
      <c r="E776" t="s">
        <v>18</v>
      </c>
      <c r="F776" t="s">
        <v>18</v>
      </c>
      <c r="G776" t="s">
        <v>18</v>
      </c>
      <c r="H776" t="e">
        <f t="shared" si="24"/>
        <v>#VALUE!</v>
      </c>
      <c r="I776" t="str">
        <f t="shared" si="25"/>
        <v>-</v>
      </c>
    </row>
    <row r="777" spans="1:9" x14ac:dyDescent="0.2">
      <c r="A777">
        <v>246863</v>
      </c>
      <c r="B777" t="s">
        <v>59</v>
      </c>
      <c r="C777" t="s">
        <v>8</v>
      </c>
      <c r="D777" t="s">
        <v>60</v>
      </c>
      <c r="E777" t="s">
        <v>18</v>
      </c>
      <c r="F777" t="s">
        <v>18</v>
      </c>
      <c r="G777" t="s">
        <v>18</v>
      </c>
      <c r="H777" t="e">
        <f t="shared" si="24"/>
        <v>#VALUE!</v>
      </c>
      <c r="I777" t="str">
        <f t="shared" si="25"/>
        <v>-</v>
      </c>
    </row>
    <row r="778" spans="1:9" x14ac:dyDescent="0.2">
      <c r="A778">
        <v>247245</v>
      </c>
      <c r="B778" t="s">
        <v>61</v>
      </c>
      <c r="C778" t="s">
        <v>8</v>
      </c>
      <c r="D778" t="s">
        <v>62</v>
      </c>
      <c r="E778" t="s">
        <v>18</v>
      </c>
      <c r="F778" t="s">
        <v>18</v>
      </c>
      <c r="G778" t="s">
        <v>18</v>
      </c>
      <c r="H778" t="e">
        <f t="shared" si="24"/>
        <v>#VALUE!</v>
      </c>
      <c r="I778" t="str">
        <f t="shared" si="25"/>
        <v>-</v>
      </c>
    </row>
    <row r="779" spans="1:9" x14ac:dyDescent="0.2">
      <c r="A779">
        <v>247627</v>
      </c>
      <c r="B779" t="s">
        <v>63</v>
      </c>
      <c r="C779" t="s">
        <v>8</v>
      </c>
      <c r="D779" t="s">
        <v>64</v>
      </c>
      <c r="E779" t="s">
        <v>18</v>
      </c>
      <c r="F779" t="s">
        <v>18</v>
      </c>
      <c r="G779" t="s">
        <v>18</v>
      </c>
      <c r="H779" t="e">
        <f t="shared" si="24"/>
        <v>#VALUE!</v>
      </c>
      <c r="I779" t="str">
        <f t="shared" si="25"/>
        <v>-</v>
      </c>
    </row>
    <row r="780" spans="1:9" x14ac:dyDescent="0.2">
      <c r="A780">
        <v>247879</v>
      </c>
      <c r="B780" t="s">
        <v>65</v>
      </c>
      <c r="C780" t="s">
        <v>8</v>
      </c>
      <c r="D780" t="s">
        <v>66</v>
      </c>
      <c r="E780">
        <v>27203</v>
      </c>
      <c r="F780">
        <v>3.32</v>
      </c>
      <c r="G780" t="s">
        <v>67</v>
      </c>
      <c r="H780" t="e">
        <f t="shared" si="24"/>
        <v>#VALUE!</v>
      </c>
      <c r="I780" t="str">
        <f t="shared" si="25"/>
        <v>-</v>
      </c>
    </row>
    <row r="781" spans="1:9" x14ac:dyDescent="0.2">
      <c r="A781">
        <v>248261</v>
      </c>
      <c r="B781" t="s">
        <v>68</v>
      </c>
      <c r="C781" t="s">
        <v>8</v>
      </c>
      <c r="D781" t="s">
        <v>69</v>
      </c>
      <c r="E781" t="s">
        <v>18</v>
      </c>
      <c r="F781" t="s">
        <v>18</v>
      </c>
      <c r="G781" t="s">
        <v>18</v>
      </c>
      <c r="H781" t="e">
        <f t="shared" si="24"/>
        <v>#VALUE!</v>
      </c>
      <c r="I781" t="str">
        <f t="shared" si="25"/>
        <v>-</v>
      </c>
    </row>
    <row r="782" spans="1:9" x14ac:dyDescent="0.2">
      <c r="A782">
        <v>248463</v>
      </c>
      <c r="B782" t="s">
        <v>7</v>
      </c>
      <c r="C782" t="s">
        <v>8</v>
      </c>
      <c r="D782" t="s">
        <v>9</v>
      </c>
      <c r="E782">
        <v>162</v>
      </c>
      <c r="F782">
        <v>102</v>
      </c>
      <c r="G782" t="s">
        <v>10</v>
      </c>
      <c r="H782" t="e">
        <f t="shared" si="24"/>
        <v>#VALUE!</v>
      </c>
      <c r="I782" t="str">
        <f t="shared" si="25"/>
        <v>-</v>
      </c>
    </row>
    <row r="783" spans="1:9" x14ac:dyDescent="0.2">
      <c r="A783">
        <v>248646</v>
      </c>
      <c r="B783" t="s">
        <v>11</v>
      </c>
      <c r="C783" t="s">
        <v>8</v>
      </c>
      <c r="D783" t="s">
        <v>12</v>
      </c>
      <c r="E783">
        <v>203</v>
      </c>
      <c r="F783">
        <v>104.25</v>
      </c>
      <c r="G783" t="s">
        <v>10</v>
      </c>
      <c r="H783" t="e">
        <f t="shared" si="24"/>
        <v>#VALUE!</v>
      </c>
      <c r="I783" t="str">
        <f t="shared" si="25"/>
        <v>-</v>
      </c>
    </row>
    <row r="784" spans="1:9" x14ac:dyDescent="0.2">
      <c r="A784">
        <v>248858</v>
      </c>
      <c r="B784" t="s">
        <v>13</v>
      </c>
      <c r="C784" t="s">
        <v>8</v>
      </c>
      <c r="D784" t="s">
        <v>14</v>
      </c>
      <c r="E784">
        <v>26060</v>
      </c>
      <c r="F784">
        <v>1017.97</v>
      </c>
      <c r="G784" t="s">
        <v>15</v>
      </c>
      <c r="H784" t="str">
        <f t="shared" si="24"/>
        <v>PSI</v>
      </c>
      <c r="I784">
        <f t="shared" si="25"/>
        <v>14.764406587722107</v>
      </c>
    </row>
    <row r="785" spans="1:9" x14ac:dyDescent="0.2">
      <c r="A785">
        <v>249240</v>
      </c>
      <c r="B785" t="s">
        <v>16</v>
      </c>
      <c r="C785" t="s">
        <v>8</v>
      </c>
      <c r="D785" t="s">
        <v>17</v>
      </c>
      <c r="E785" t="s">
        <v>18</v>
      </c>
      <c r="F785" t="s">
        <v>18</v>
      </c>
      <c r="G785" t="s">
        <v>18</v>
      </c>
      <c r="H785" t="e">
        <f t="shared" si="24"/>
        <v>#VALUE!</v>
      </c>
      <c r="I785" t="str">
        <f t="shared" si="25"/>
        <v>-</v>
      </c>
    </row>
    <row r="786" spans="1:9" x14ac:dyDescent="0.2">
      <c r="A786">
        <v>249442</v>
      </c>
      <c r="B786" t="s">
        <v>19</v>
      </c>
      <c r="C786" t="s">
        <v>8</v>
      </c>
      <c r="D786" t="s">
        <v>20</v>
      </c>
      <c r="E786">
        <v>13236</v>
      </c>
      <c r="F786">
        <v>1034.06</v>
      </c>
      <c r="G786" t="s">
        <v>15</v>
      </c>
      <c r="H786" t="str">
        <f t="shared" si="24"/>
        <v>PSI</v>
      </c>
      <c r="I786">
        <f t="shared" si="25"/>
        <v>14.997772307730013</v>
      </c>
    </row>
    <row r="787" spans="1:9" x14ac:dyDescent="0.2">
      <c r="A787">
        <v>249644</v>
      </c>
      <c r="B787" t="s">
        <v>21</v>
      </c>
      <c r="C787" t="s">
        <v>8</v>
      </c>
      <c r="D787" t="s">
        <v>22</v>
      </c>
      <c r="E787">
        <v>6947</v>
      </c>
      <c r="F787">
        <v>1736.75</v>
      </c>
      <c r="G787" t="s">
        <v>23</v>
      </c>
      <c r="H787" t="e">
        <f t="shared" si="24"/>
        <v>#VALUE!</v>
      </c>
      <c r="I787" t="str">
        <f t="shared" si="25"/>
        <v>-</v>
      </c>
    </row>
    <row r="788" spans="1:9" x14ac:dyDescent="0.2">
      <c r="A788">
        <v>249847</v>
      </c>
      <c r="B788" t="s">
        <v>24</v>
      </c>
      <c r="C788" t="s">
        <v>8</v>
      </c>
      <c r="D788" t="s">
        <v>25</v>
      </c>
      <c r="E788">
        <v>5</v>
      </c>
      <c r="F788">
        <v>5</v>
      </c>
      <c r="G788" t="s">
        <v>26</v>
      </c>
      <c r="H788" t="e">
        <f t="shared" si="24"/>
        <v>#VALUE!</v>
      </c>
      <c r="I788" t="str">
        <f t="shared" si="25"/>
        <v>-</v>
      </c>
    </row>
    <row r="789" spans="1:9" x14ac:dyDescent="0.2">
      <c r="A789">
        <v>250079</v>
      </c>
      <c r="B789" t="s">
        <v>27</v>
      </c>
      <c r="C789" t="s">
        <v>8</v>
      </c>
      <c r="D789" t="s">
        <v>28</v>
      </c>
      <c r="E789">
        <v>604</v>
      </c>
      <c r="F789">
        <v>14.18</v>
      </c>
      <c r="G789" t="s">
        <v>29</v>
      </c>
      <c r="H789" t="e">
        <f t="shared" si="24"/>
        <v>#VALUE!</v>
      </c>
      <c r="I789" t="str">
        <f t="shared" si="25"/>
        <v>-</v>
      </c>
    </row>
    <row r="790" spans="1:9" x14ac:dyDescent="0.2">
      <c r="A790">
        <v>250291</v>
      </c>
      <c r="B790" t="s">
        <v>30</v>
      </c>
      <c r="C790" t="s">
        <v>8</v>
      </c>
      <c r="D790" t="s">
        <v>31</v>
      </c>
      <c r="E790">
        <v>2905</v>
      </c>
      <c r="F790">
        <v>2905</v>
      </c>
      <c r="G790" t="s">
        <v>15</v>
      </c>
      <c r="H790" t="str">
        <f t="shared" si="24"/>
        <v>PSI</v>
      </c>
      <c r="I790">
        <f t="shared" si="25"/>
        <v>42.133462810625772</v>
      </c>
    </row>
    <row r="791" spans="1:9" x14ac:dyDescent="0.2">
      <c r="A791">
        <v>250513</v>
      </c>
      <c r="B791" t="s">
        <v>32</v>
      </c>
      <c r="C791" t="s">
        <v>8</v>
      </c>
      <c r="D791" t="s">
        <v>33</v>
      </c>
      <c r="E791">
        <v>65536</v>
      </c>
      <c r="F791">
        <v>16</v>
      </c>
      <c r="G791" t="s">
        <v>26</v>
      </c>
      <c r="H791" t="e">
        <f t="shared" si="24"/>
        <v>#VALUE!</v>
      </c>
      <c r="I791" t="str">
        <f t="shared" si="25"/>
        <v>-</v>
      </c>
    </row>
    <row r="792" spans="1:9" x14ac:dyDescent="0.2">
      <c r="A792">
        <v>250725</v>
      </c>
      <c r="B792" t="s">
        <v>34</v>
      </c>
      <c r="C792" t="s">
        <v>8</v>
      </c>
      <c r="D792" t="s">
        <v>35</v>
      </c>
      <c r="E792">
        <v>65299</v>
      </c>
      <c r="F792">
        <v>15.94</v>
      </c>
      <c r="G792" t="s">
        <v>26</v>
      </c>
      <c r="H792" t="e">
        <f t="shared" si="24"/>
        <v>#VALUE!</v>
      </c>
      <c r="I792" t="str">
        <f t="shared" si="25"/>
        <v>-</v>
      </c>
    </row>
    <row r="793" spans="1:9" x14ac:dyDescent="0.2">
      <c r="A793">
        <v>251107</v>
      </c>
      <c r="B793" t="s">
        <v>36</v>
      </c>
      <c r="C793" t="s">
        <v>8</v>
      </c>
      <c r="D793" t="s">
        <v>37</v>
      </c>
      <c r="E793" t="s">
        <v>18</v>
      </c>
      <c r="F793" t="s">
        <v>18</v>
      </c>
      <c r="G793" t="s">
        <v>18</v>
      </c>
      <c r="H793" t="e">
        <f t="shared" si="24"/>
        <v>#VALUE!</v>
      </c>
      <c r="I793" t="str">
        <f t="shared" si="25"/>
        <v>-</v>
      </c>
    </row>
    <row r="794" spans="1:9" x14ac:dyDescent="0.2">
      <c r="A794">
        <v>251489</v>
      </c>
      <c r="B794" t="s">
        <v>38</v>
      </c>
      <c r="C794" t="s">
        <v>8</v>
      </c>
      <c r="D794" t="s">
        <v>39</v>
      </c>
      <c r="E794" t="s">
        <v>18</v>
      </c>
      <c r="F794" t="s">
        <v>18</v>
      </c>
      <c r="G794" t="s">
        <v>18</v>
      </c>
      <c r="H794" t="e">
        <f t="shared" si="24"/>
        <v>#VALUE!</v>
      </c>
      <c r="I794" t="str">
        <f t="shared" si="25"/>
        <v>-</v>
      </c>
    </row>
    <row r="795" spans="1:9" x14ac:dyDescent="0.2">
      <c r="A795">
        <v>251871</v>
      </c>
      <c r="B795" t="s">
        <v>40</v>
      </c>
      <c r="C795" t="s">
        <v>8</v>
      </c>
      <c r="D795" t="s">
        <v>41</v>
      </c>
      <c r="E795" t="s">
        <v>18</v>
      </c>
      <c r="F795" t="s">
        <v>18</v>
      </c>
      <c r="G795" t="s">
        <v>18</v>
      </c>
      <c r="H795" t="e">
        <f t="shared" si="24"/>
        <v>#VALUE!</v>
      </c>
      <c r="I795" t="str">
        <f t="shared" si="25"/>
        <v>-</v>
      </c>
    </row>
    <row r="796" spans="1:9" x14ac:dyDescent="0.2">
      <c r="A796">
        <v>252094</v>
      </c>
      <c r="B796" t="s">
        <v>42</v>
      </c>
      <c r="C796" t="s">
        <v>8</v>
      </c>
      <c r="D796" t="s">
        <v>43</v>
      </c>
      <c r="E796">
        <v>9914</v>
      </c>
      <c r="F796">
        <v>4.96</v>
      </c>
      <c r="G796" t="s">
        <v>44</v>
      </c>
      <c r="H796" t="str">
        <f t="shared" si="24"/>
        <v>PSI</v>
      </c>
      <c r="I796">
        <f t="shared" si="25"/>
        <v>719.38717914183769</v>
      </c>
    </row>
    <row r="797" spans="1:9" x14ac:dyDescent="0.2">
      <c r="A797">
        <v>252286</v>
      </c>
      <c r="B797" t="s">
        <v>45</v>
      </c>
      <c r="C797" t="s">
        <v>8</v>
      </c>
      <c r="D797" t="s">
        <v>46</v>
      </c>
      <c r="E797">
        <v>3</v>
      </c>
      <c r="F797">
        <v>3</v>
      </c>
      <c r="G797" t="s">
        <v>15</v>
      </c>
      <c r="H797" t="str">
        <f t="shared" si="24"/>
        <v>PSI</v>
      </c>
      <c r="I797">
        <f t="shared" si="25"/>
        <v>4.3511321319062761E-2</v>
      </c>
    </row>
    <row r="798" spans="1:9" x14ac:dyDescent="0.2">
      <c r="A798">
        <v>252498</v>
      </c>
      <c r="B798" t="s">
        <v>47</v>
      </c>
      <c r="C798" t="s">
        <v>8</v>
      </c>
      <c r="D798" t="s">
        <v>48</v>
      </c>
      <c r="E798">
        <v>2184</v>
      </c>
      <c r="F798">
        <v>218.4</v>
      </c>
      <c r="G798" t="s">
        <v>49</v>
      </c>
      <c r="H798" t="e">
        <f t="shared" si="24"/>
        <v>#VALUE!</v>
      </c>
      <c r="I798" t="str">
        <f t="shared" si="25"/>
        <v>-</v>
      </c>
    </row>
    <row r="799" spans="1:9" x14ac:dyDescent="0.2">
      <c r="A799">
        <v>252710</v>
      </c>
      <c r="B799" t="s">
        <v>50</v>
      </c>
      <c r="C799" t="s">
        <v>8</v>
      </c>
      <c r="D799" t="s">
        <v>51</v>
      </c>
      <c r="E799">
        <v>25117</v>
      </c>
      <c r="F799">
        <v>981.13</v>
      </c>
      <c r="G799" t="s">
        <v>15</v>
      </c>
      <c r="H799" t="str">
        <f t="shared" si="24"/>
        <v>PSI</v>
      </c>
      <c r="I799">
        <f t="shared" si="25"/>
        <v>14.230087561924016</v>
      </c>
    </row>
    <row r="800" spans="1:9" x14ac:dyDescent="0.2">
      <c r="A800">
        <v>252902</v>
      </c>
      <c r="B800" t="s">
        <v>52</v>
      </c>
      <c r="C800" t="s">
        <v>8</v>
      </c>
      <c r="D800" t="s">
        <v>53</v>
      </c>
      <c r="E800">
        <v>99</v>
      </c>
      <c r="F800">
        <v>26.25</v>
      </c>
      <c r="G800" t="s">
        <v>10</v>
      </c>
      <c r="H800" t="e">
        <f t="shared" si="24"/>
        <v>#VALUE!</v>
      </c>
      <c r="I800" t="str">
        <f t="shared" si="25"/>
        <v>-</v>
      </c>
    </row>
    <row r="801" spans="1:9" x14ac:dyDescent="0.2">
      <c r="A801">
        <v>253084</v>
      </c>
      <c r="B801" t="s">
        <v>54</v>
      </c>
      <c r="C801" t="s">
        <v>8</v>
      </c>
      <c r="D801" t="s">
        <v>55</v>
      </c>
      <c r="E801">
        <v>4</v>
      </c>
      <c r="F801">
        <v>16</v>
      </c>
      <c r="G801" t="s">
        <v>56</v>
      </c>
      <c r="H801" t="e">
        <f t="shared" si="24"/>
        <v>#VALUE!</v>
      </c>
      <c r="I801" t="str">
        <f t="shared" si="25"/>
        <v>-</v>
      </c>
    </row>
    <row r="802" spans="1:9" x14ac:dyDescent="0.2">
      <c r="A802">
        <v>253466</v>
      </c>
      <c r="B802" t="s">
        <v>57</v>
      </c>
      <c r="C802" t="s">
        <v>8</v>
      </c>
      <c r="D802" t="s">
        <v>58</v>
      </c>
      <c r="E802" t="s">
        <v>18</v>
      </c>
      <c r="F802" t="s">
        <v>18</v>
      </c>
      <c r="G802" t="s">
        <v>18</v>
      </c>
      <c r="H802" t="e">
        <f t="shared" si="24"/>
        <v>#VALUE!</v>
      </c>
      <c r="I802" t="str">
        <f t="shared" si="25"/>
        <v>-</v>
      </c>
    </row>
    <row r="803" spans="1:9" x14ac:dyDescent="0.2">
      <c r="A803">
        <v>253848</v>
      </c>
      <c r="B803" t="s">
        <v>59</v>
      </c>
      <c r="C803" t="s">
        <v>8</v>
      </c>
      <c r="D803" t="s">
        <v>60</v>
      </c>
      <c r="E803" t="s">
        <v>18</v>
      </c>
      <c r="F803" t="s">
        <v>18</v>
      </c>
      <c r="G803" t="s">
        <v>18</v>
      </c>
      <c r="H803" t="e">
        <f t="shared" si="24"/>
        <v>#VALUE!</v>
      </c>
      <c r="I803" t="str">
        <f t="shared" si="25"/>
        <v>-</v>
      </c>
    </row>
    <row r="804" spans="1:9" x14ac:dyDescent="0.2">
      <c r="A804">
        <v>254220</v>
      </c>
      <c r="B804" t="s">
        <v>61</v>
      </c>
      <c r="C804" t="s">
        <v>8</v>
      </c>
      <c r="D804" t="s">
        <v>62</v>
      </c>
      <c r="E804" t="s">
        <v>18</v>
      </c>
      <c r="F804" t="s">
        <v>18</v>
      </c>
      <c r="G804" t="s">
        <v>18</v>
      </c>
      <c r="H804" t="e">
        <f t="shared" si="24"/>
        <v>#VALUE!</v>
      </c>
      <c r="I804" t="str">
        <f t="shared" si="25"/>
        <v>-</v>
      </c>
    </row>
    <row r="805" spans="1:9" x14ac:dyDescent="0.2">
      <c r="A805">
        <v>254602</v>
      </c>
      <c r="B805" t="s">
        <v>63</v>
      </c>
      <c r="C805" t="s">
        <v>8</v>
      </c>
      <c r="D805" t="s">
        <v>64</v>
      </c>
      <c r="E805" t="s">
        <v>18</v>
      </c>
      <c r="F805" t="s">
        <v>18</v>
      </c>
      <c r="G805" t="s">
        <v>18</v>
      </c>
      <c r="H805" t="e">
        <f t="shared" si="24"/>
        <v>#VALUE!</v>
      </c>
      <c r="I805" t="str">
        <f t="shared" si="25"/>
        <v>-</v>
      </c>
    </row>
    <row r="806" spans="1:9" x14ac:dyDescent="0.2">
      <c r="A806">
        <v>254854</v>
      </c>
      <c r="B806" t="s">
        <v>65</v>
      </c>
      <c r="C806" t="s">
        <v>8</v>
      </c>
      <c r="D806" t="s">
        <v>66</v>
      </c>
      <c r="E806">
        <v>27204</v>
      </c>
      <c r="F806">
        <v>3.32</v>
      </c>
      <c r="G806" t="s">
        <v>67</v>
      </c>
      <c r="H806" t="e">
        <f t="shared" si="24"/>
        <v>#VALUE!</v>
      </c>
      <c r="I806" t="str">
        <f t="shared" si="25"/>
        <v>-</v>
      </c>
    </row>
    <row r="807" spans="1:9" x14ac:dyDescent="0.2">
      <c r="A807">
        <v>255236</v>
      </c>
      <c r="B807" t="s">
        <v>68</v>
      </c>
      <c r="C807" t="s">
        <v>8</v>
      </c>
      <c r="D807" t="s">
        <v>69</v>
      </c>
      <c r="E807" t="s">
        <v>18</v>
      </c>
      <c r="F807" t="s">
        <v>18</v>
      </c>
      <c r="G807" t="s">
        <v>18</v>
      </c>
      <c r="H807" t="e">
        <f t="shared" si="24"/>
        <v>#VALUE!</v>
      </c>
      <c r="I807" t="str">
        <f t="shared" si="25"/>
        <v>-</v>
      </c>
    </row>
    <row r="808" spans="1:9" x14ac:dyDescent="0.2">
      <c r="A808">
        <v>255438</v>
      </c>
      <c r="B808" t="s">
        <v>7</v>
      </c>
      <c r="C808" t="s">
        <v>8</v>
      </c>
      <c r="D808" t="s">
        <v>9</v>
      </c>
      <c r="E808">
        <v>162</v>
      </c>
      <c r="F808">
        <v>102</v>
      </c>
      <c r="G808" t="s">
        <v>10</v>
      </c>
      <c r="H808" t="e">
        <f t="shared" si="24"/>
        <v>#VALUE!</v>
      </c>
      <c r="I808" t="str">
        <f t="shared" si="25"/>
        <v>-</v>
      </c>
    </row>
    <row r="809" spans="1:9" x14ac:dyDescent="0.2">
      <c r="A809">
        <v>255630</v>
      </c>
      <c r="B809" t="s">
        <v>11</v>
      </c>
      <c r="C809" t="s">
        <v>8</v>
      </c>
      <c r="D809" t="s">
        <v>12</v>
      </c>
      <c r="E809">
        <v>203</v>
      </c>
      <c r="F809">
        <v>104.25</v>
      </c>
      <c r="G809" t="s">
        <v>10</v>
      </c>
      <c r="H809" t="e">
        <f t="shared" si="24"/>
        <v>#VALUE!</v>
      </c>
      <c r="I809" t="str">
        <f t="shared" si="25"/>
        <v>-</v>
      </c>
    </row>
    <row r="810" spans="1:9" x14ac:dyDescent="0.2">
      <c r="A810">
        <v>255833</v>
      </c>
      <c r="B810" t="s">
        <v>13</v>
      </c>
      <c r="C810" t="s">
        <v>8</v>
      </c>
      <c r="D810" t="s">
        <v>14</v>
      </c>
      <c r="E810">
        <v>26092</v>
      </c>
      <c r="F810">
        <v>1019.22</v>
      </c>
      <c r="G810" t="s">
        <v>15</v>
      </c>
      <c r="H810" t="str">
        <f t="shared" si="24"/>
        <v>PSI</v>
      </c>
      <c r="I810">
        <f t="shared" si="25"/>
        <v>14.782536304938382</v>
      </c>
    </row>
    <row r="811" spans="1:9" x14ac:dyDescent="0.2">
      <c r="A811">
        <v>256215</v>
      </c>
      <c r="B811" t="s">
        <v>16</v>
      </c>
      <c r="C811" t="s">
        <v>8</v>
      </c>
      <c r="D811" t="s">
        <v>17</v>
      </c>
      <c r="E811" t="s">
        <v>18</v>
      </c>
      <c r="F811" t="s">
        <v>18</v>
      </c>
      <c r="G811" t="s">
        <v>18</v>
      </c>
      <c r="H811" t="e">
        <f t="shared" si="24"/>
        <v>#VALUE!</v>
      </c>
      <c r="I811" t="str">
        <f t="shared" si="25"/>
        <v>-</v>
      </c>
    </row>
    <row r="812" spans="1:9" x14ac:dyDescent="0.2">
      <c r="A812">
        <v>256427</v>
      </c>
      <c r="B812" t="s">
        <v>19</v>
      </c>
      <c r="C812" t="s">
        <v>8</v>
      </c>
      <c r="D812" t="s">
        <v>20</v>
      </c>
      <c r="E812">
        <v>13236</v>
      </c>
      <c r="F812">
        <v>1034.06</v>
      </c>
      <c r="G812" t="s">
        <v>15</v>
      </c>
      <c r="H812" t="str">
        <f t="shared" si="24"/>
        <v>PSI</v>
      </c>
      <c r="I812">
        <f t="shared" si="25"/>
        <v>14.997772307730013</v>
      </c>
    </row>
    <row r="813" spans="1:9" x14ac:dyDescent="0.2">
      <c r="A813">
        <v>256639</v>
      </c>
      <c r="B813" t="s">
        <v>21</v>
      </c>
      <c r="C813" t="s">
        <v>8</v>
      </c>
      <c r="D813" t="s">
        <v>22</v>
      </c>
      <c r="E813">
        <v>7939</v>
      </c>
      <c r="F813">
        <v>1984.75</v>
      </c>
      <c r="G813" t="s">
        <v>23</v>
      </c>
      <c r="H813" t="e">
        <f t="shared" si="24"/>
        <v>#VALUE!</v>
      </c>
      <c r="I813" t="str">
        <f t="shared" si="25"/>
        <v>-</v>
      </c>
    </row>
    <row r="814" spans="1:9" x14ac:dyDescent="0.2">
      <c r="A814">
        <v>256831</v>
      </c>
      <c r="B814" t="s">
        <v>24</v>
      </c>
      <c r="C814" t="s">
        <v>8</v>
      </c>
      <c r="D814" t="s">
        <v>25</v>
      </c>
      <c r="E814">
        <v>4</v>
      </c>
      <c r="F814">
        <v>4</v>
      </c>
      <c r="G814" t="s">
        <v>26</v>
      </c>
      <c r="H814" t="e">
        <f t="shared" si="24"/>
        <v>#VALUE!</v>
      </c>
      <c r="I814" t="str">
        <f t="shared" si="25"/>
        <v>-</v>
      </c>
    </row>
    <row r="815" spans="1:9" x14ac:dyDescent="0.2">
      <c r="A815">
        <v>257043</v>
      </c>
      <c r="B815" t="s">
        <v>27</v>
      </c>
      <c r="C815" t="s">
        <v>8</v>
      </c>
      <c r="D815" t="s">
        <v>28</v>
      </c>
      <c r="E815">
        <v>605</v>
      </c>
      <c r="F815">
        <v>14.21</v>
      </c>
      <c r="G815" t="s">
        <v>29</v>
      </c>
      <c r="H815" t="e">
        <f t="shared" si="24"/>
        <v>#VALUE!</v>
      </c>
      <c r="I815" t="str">
        <f t="shared" si="25"/>
        <v>-</v>
      </c>
    </row>
    <row r="816" spans="1:9" x14ac:dyDescent="0.2">
      <c r="A816">
        <v>257255</v>
      </c>
      <c r="B816" t="s">
        <v>30</v>
      </c>
      <c r="C816" t="s">
        <v>8</v>
      </c>
      <c r="D816" t="s">
        <v>31</v>
      </c>
      <c r="E816">
        <v>3507</v>
      </c>
      <c r="F816">
        <v>3507</v>
      </c>
      <c r="G816" t="s">
        <v>15</v>
      </c>
      <c r="H816" t="str">
        <f t="shared" si="24"/>
        <v>PSI</v>
      </c>
      <c r="I816">
        <f t="shared" si="25"/>
        <v>50.864734621984368</v>
      </c>
    </row>
    <row r="817" spans="1:9" x14ac:dyDescent="0.2">
      <c r="A817">
        <v>257467</v>
      </c>
      <c r="B817" t="s">
        <v>32</v>
      </c>
      <c r="C817" t="s">
        <v>8</v>
      </c>
      <c r="D817" t="s">
        <v>33</v>
      </c>
      <c r="E817">
        <v>4640</v>
      </c>
      <c r="F817">
        <v>1.1299999999999999</v>
      </c>
      <c r="G817" t="s">
        <v>26</v>
      </c>
      <c r="H817" t="e">
        <f t="shared" si="24"/>
        <v>#VALUE!</v>
      </c>
      <c r="I817" t="str">
        <f t="shared" si="25"/>
        <v>-</v>
      </c>
    </row>
    <row r="818" spans="1:9" x14ac:dyDescent="0.2">
      <c r="A818">
        <v>257679</v>
      </c>
      <c r="B818" t="s">
        <v>34</v>
      </c>
      <c r="C818" t="s">
        <v>8</v>
      </c>
      <c r="D818" t="s">
        <v>35</v>
      </c>
      <c r="E818">
        <v>3914</v>
      </c>
      <c r="F818">
        <v>0.96</v>
      </c>
      <c r="G818" t="s">
        <v>26</v>
      </c>
      <c r="H818" t="e">
        <f t="shared" si="24"/>
        <v>#VALUE!</v>
      </c>
      <c r="I818" t="str">
        <f t="shared" si="25"/>
        <v>-</v>
      </c>
    </row>
    <row r="819" spans="1:9" x14ac:dyDescent="0.2">
      <c r="A819">
        <v>258061</v>
      </c>
      <c r="B819" t="s">
        <v>36</v>
      </c>
      <c r="C819" t="s">
        <v>8</v>
      </c>
      <c r="D819" t="s">
        <v>37</v>
      </c>
      <c r="E819" t="s">
        <v>18</v>
      </c>
      <c r="F819" t="s">
        <v>18</v>
      </c>
      <c r="G819" t="s">
        <v>18</v>
      </c>
      <c r="H819" t="e">
        <f t="shared" si="24"/>
        <v>#VALUE!</v>
      </c>
      <c r="I819" t="str">
        <f t="shared" si="25"/>
        <v>-</v>
      </c>
    </row>
    <row r="820" spans="1:9" x14ac:dyDescent="0.2">
      <c r="A820">
        <v>258443</v>
      </c>
      <c r="B820" t="s">
        <v>38</v>
      </c>
      <c r="C820" t="s">
        <v>8</v>
      </c>
      <c r="D820" t="s">
        <v>39</v>
      </c>
      <c r="E820" t="s">
        <v>18</v>
      </c>
      <c r="F820" t="s">
        <v>18</v>
      </c>
      <c r="G820" t="s">
        <v>18</v>
      </c>
      <c r="H820" t="e">
        <f t="shared" si="24"/>
        <v>#VALUE!</v>
      </c>
      <c r="I820" t="str">
        <f t="shared" si="25"/>
        <v>-</v>
      </c>
    </row>
    <row r="821" spans="1:9" x14ac:dyDescent="0.2">
      <c r="A821">
        <v>258815</v>
      </c>
      <c r="B821" t="s">
        <v>40</v>
      </c>
      <c r="C821" t="s">
        <v>8</v>
      </c>
      <c r="D821" t="s">
        <v>41</v>
      </c>
      <c r="E821" t="s">
        <v>18</v>
      </c>
      <c r="F821" t="s">
        <v>18</v>
      </c>
      <c r="G821" t="s">
        <v>18</v>
      </c>
      <c r="H821" t="e">
        <f t="shared" si="24"/>
        <v>#VALUE!</v>
      </c>
      <c r="I821" t="str">
        <f t="shared" si="25"/>
        <v>-</v>
      </c>
    </row>
    <row r="822" spans="1:9" x14ac:dyDescent="0.2">
      <c r="A822">
        <v>259027</v>
      </c>
      <c r="B822" t="s">
        <v>42</v>
      </c>
      <c r="C822" t="s">
        <v>8</v>
      </c>
      <c r="D822" t="s">
        <v>43</v>
      </c>
      <c r="E822">
        <v>18867</v>
      </c>
      <c r="F822">
        <v>9.43</v>
      </c>
      <c r="G822" t="s">
        <v>44</v>
      </c>
      <c r="H822" t="str">
        <f t="shared" si="24"/>
        <v>PSI</v>
      </c>
      <c r="I822">
        <f t="shared" si="25"/>
        <v>1367.7058667958729</v>
      </c>
    </row>
    <row r="823" spans="1:9" x14ac:dyDescent="0.2">
      <c r="A823">
        <v>259219</v>
      </c>
      <c r="B823" t="s">
        <v>45</v>
      </c>
      <c r="C823" t="s">
        <v>8</v>
      </c>
      <c r="D823" t="s">
        <v>46</v>
      </c>
      <c r="E823">
        <v>1</v>
      </c>
      <c r="F823">
        <v>1</v>
      </c>
      <c r="G823" t="s">
        <v>15</v>
      </c>
      <c r="H823" t="str">
        <f t="shared" si="24"/>
        <v>PSI</v>
      </c>
      <c r="I823">
        <f t="shared" si="25"/>
        <v>1.4503773773020921E-2</v>
      </c>
    </row>
    <row r="824" spans="1:9" x14ac:dyDescent="0.2">
      <c r="A824">
        <v>259431</v>
      </c>
      <c r="B824" t="s">
        <v>47</v>
      </c>
      <c r="C824" t="s">
        <v>8</v>
      </c>
      <c r="D824" t="s">
        <v>48</v>
      </c>
      <c r="E824">
        <v>2254</v>
      </c>
      <c r="F824">
        <v>225.4</v>
      </c>
      <c r="G824" t="s">
        <v>49</v>
      </c>
      <c r="H824" t="e">
        <f t="shared" si="24"/>
        <v>#VALUE!</v>
      </c>
      <c r="I824" t="str">
        <f t="shared" si="25"/>
        <v>-</v>
      </c>
    </row>
    <row r="825" spans="1:9" x14ac:dyDescent="0.2">
      <c r="A825">
        <v>259653</v>
      </c>
      <c r="B825" t="s">
        <v>50</v>
      </c>
      <c r="C825" t="s">
        <v>8</v>
      </c>
      <c r="D825" t="s">
        <v>51</v>
      </c>
      <c r="E825">
        <v>25357</v>
      </c>
      <c r="F825">
        <v>990.51</v>
      </c>
      <c r="G825" t="s">
        <v>15</v>
      </c>
      <c r="H825" t="str">
        <f t="shared" si="24"/>
        <v>PSI</v>
      </c>
      <c r="I825">
        <f t="shared" si="25"/>
        <v>14.366132959914951</v>
      </c>
    </row>
    <row r="826" spans="1:9" x14ac:dyDescent="0.2">
      <c r="A826">
        <v>259845</v>
      </c>
      <c r="B826" t="s">
        <v>52</v>
      </c>
      <c r="C826" t="s">
        <v>8</v>
      </c>
      <c r="D826" t="s">
        <v>53</v>
      </c>
      <c r="E826">
        <v>97</v>
      </c>
      <c r="F826">
        <v>24.75</v>
      </c>
      <c r="G826" t="s">
        <v>10</v>
      </c>
      <c r="H826" t="e">
        <f t="shared" si="24"/>
        <v>#VALUE!</v>
      </c>
      <c r="I826" t="str">
        <f t="shared" si="25"/>
        <v>-</v>
      </c>
    </row>
    <row r="827" spans="1:9" x14ac:dyDescent="0.2">
      <c r="A827">
        <v>260038</v>
      </c>
      <c r="B827" t="s">
        <v>54</v>
      </c>
      <c r="C827" t="s">
        <v>8</v>
      </c>
      <c r="D827" t="s">
        <v>55</v>
      </c>
      <c r="E827">
        <v>22</v>
      </c>
      <c r="F827">
        <v>88</v>
      </c>
      <c r="G827" t="s">
        <v>56</v>
      </c>
      <c r="H827" t="e">
        <f t="shared" si="24"/>
        <v>#VALUE!</v>
      </c>
      <c r="I827" t="str">
        <f t="shared" si="25"/>
        <v>-</v>
      </c>
    </row>
    <row r="828" spans="1:9" x14ac:dyDescent="0.2">
      <c r="A828">
        <v>260420</v>
      </c>
      <c r="B828" t="s">
        <v>57</v>
      </c>
      <c r="C828" t="s">
        <v>8</v>
      </c>
      <c r="D828" t="s">
        <v>58</v>
      </c>
      <c r="E828" t="s">
        <v>18</v>
      </c>
      <c r="F828" t="s">
        <v>18</v>
      </c>
      <c r="G828" t="s">
        <v>18</v>
      </c>
      <c r="H828" t="e">
        <f t="shared" si="24"/>
        <v>#VALUE!</v>
      </c>
      <c r="I828" t="str">
        <f t="shared" si="25"/>
        <v>-</v>
      </c>
    </row>
    <row r="829" spans="1:9" x14ac:dyDescent="0.2">
      <c r="A829">
        <v>260831</v>
      </c>
      <c r="B829" t="s">
        <v>59</v>
      </c>
      <c r="C829" t="s">
        <v>8</v>
      </c>
      <c r="D829" t="s">
        <v>60</v>
      </c>
      <c r="E829" t="s">
        <v>18</v>
      </c>
      <c r="F829" t="s">
        <v>18</v>
      </c>
      <c r="G829" t="s">
        <v>18</v>
      </c>
      <c r="H829" t="e">
        <f t="shared" si="24"/>
        <v>#VALUE!</v>
      </c>
      <c r="I829" t="str">
        <f t="shared" si="25"/>
        <v>-</v>
      </c>
    </row>
    <row r="830" spans="1:9" x14ac:dyDescent="0.2">
      <c r="A830">
        <v>261213</v>
      </c>
      <c r="B830" t="s">
        <v>61</v>
      </c>
      <c r="C830" t="s">
        <v>8</v>
      </c>
      <c r="D830" t="s">
        <v>62</v>
      </c>
      <c r="E830" t="s">
        <v>18</v>
      </c>
      <c r="F830" t="s">
        <v>18</v>
      </c>
      <c r="G830" t="s">
        <v>18</v>
      </c>
      <c r="H830" t="e">
        <f t="shared" si="24"/>
        <v>#VALUE!</v>
      </c>
      <c r="I830" t="str">
        <f t="shared" si="25"/>
        <v>-</v>
      </c>
    </row>
    <row r="831" spans="1:9" x14ac:dyDescent="0.2">
      <c r="A831">
        <v>261595</v>
      </c>
      <c r="B831" t="s">
        <v>63</v>
      </c>
      <c r="C831" t="s">
        <v>8</v>
      </c>
      <c r="D831" t="s">
        <v>64</v>
      </c>
      <c r="E831" t="s">
        <v>18</v>
      </c>
      <c r="F831" t="s">
        <v>18</v>
      </c>
      <c r="G831" t="s">
        <v>18</v>
      </c>
      <c r="H831" t="e">
        <f t="shared" si="24"/>
        <v>#VALUE!</v>
      </c>
      <c r="I831" t="str">
        <f t="shared" si="25"/>
        <v>-</v>
      </c>
    </row>
    <row r="832" spans="1:9" x14ac:dyDescent="0.2">
      <c r="A832">
        <v>261847</v>
      </c>
      <c r="B832" t="s">
        <v>65</v>
      </c>
      <c r="C832" t="s">
        <v>8</v>
      </c>
      <c r="D832" t="s">
        <v>66</v>
      </c>
      <c r="E832">
        <v>27270</v>
      </c>
      <c r="F832">
        <v>3.33</v>
      </c>
      <c r="G832" t="s">
        <v>67</v>
      </c>
      <c r="H832" t="e">
        <f t="shared" si="24"/>
        <v>#VALUE!</v>
      </c>
      <c r="I832" t="str">
        <f t="shared" si="25"/>
        <v>-</v>
      </c>
    </row>
    <row r="833" spans="1:9" x14ac:dyDescent="0.2">
      <c r="A833">
        <v>262229</v>
      </c>
      <c r="B833" t="s">
        <v>68</v>
      </c>
      <c r="C833" t="s">
        <v>8</v>
      </c>
      <c r="D833" t="s">
        <v>69</v>
      </c>
      <c r="E833" t="s">
        <v>18</v>
      </c>
      <c r="F833" t="s">
        <v>18</v>
      </c>
      <c r="G833" t="s">
        <v>18</v>
      </c>
      <c r="H833" t="e">
        <f t="shared" si="24"/>
        <v>#VALUE!</v>
      </c>
      <c r="I833" t="str">
        <f t="shared" si="25"/>
        <v>-</v>
      </c>
    </row>
    <row r="834" spans="1:9" x14ac:dyDescent="0.2">
      <c r="A834">
        <v>262431</v>
      </c>
      <c r="B834" t="s">
        <v>7</v>
      </c>
      <c r="C834" t="s">
        <v>8</v>
      </c>
      <c r="D834" t="s">
        <v>9</v>
      </c>
      <c r="E834">
        <v>163</v>
      </c>
      <c r="F834">
        <v>103</v>
      </c>
      <c r="G834" t="s">
        <v>10</v>
      </c>
      <c r="H834" t="e">
        <f t="shared" si="24"/>
        <v>#VALUE!</v>
      </c>
      <c r="I834" t="str">
        <f t="shared" si="25"/>
        <v>-</v>
      </c>
    </row>
    <row r="835" spans="1:9" x14ac:dyDescent="0.2">
      <c r="A835">
        <v>262623</v>
      </c>
      <c r="B835" t="s">
        <v>11</v>
      </c>
      <c r="C835" t="s">
        <v>8</v>
      </c>
      <c r="D835" t="s">
        <v>12</v>
      </c>
      <c r="E835">
        <v>203</v>
      </c>
      <c r="F835">
        <v>104.25</v>
      </c>
      <c r="G835" t="s">
        <v>10</v>
      </c>
      <c r="H835" t="e">
        <f t="shared" ref="H835:H898" si="26">IF(FIND("Pa",G835,1),"PSI","-")</f>
        <v>#VALUE!</v>
      </c>
      <c r="I835" t="str">
        <f t="shared" ref="I835:I898" si="27">IF(G835="hPa",CONVERT(F835*100,"Pa","psi"), IF(G835="MPa",CONVERT(F835*1000000,"Pa","psi"),"-"))</f>
        <v>-</v>
      </c>
    </row>
    <row r="836" spans="1:9" x14ac:dyDescent="0.2">
      <c r="A836">
        <v>262835</v>
      </c>
      <c r="B836" t="s">
        <v>13</v>
      </c>
      <c r="C836" t="s">
        <v>8</v>
      </c>
      <c r="D836" t="s">
        <v>14</v>
      </c>
      <c r="E836">
        <v>26092</v>
      </c>
      <c r="F836">
        <v>1019.22</v>
      </c>
      <c r="G836" t="s">
        <v>15</v>
      </c>
      <c r="H836" t="str">
        <f t="shared" si="26"/>
        <v>PSI</v>
      </c>
      <c r="I836">
        <f t="shared" si="27"/>
        <v>14.782536304938382</v>
      </c>
    </row>
    <row r="837" spans="1:9" x14ac:dyDescent="0.2">
      <c r="A837">
        <v>263216</v>
      </c>
      <c r="B837" t="s">
        <v>16</v>
      </c>
      <c r="C837" t="s">
        <v>8</v>
      </c>
      <c r="D837" t="s">
        <v>17</v>
      </c>
      <c r="E837" t="s">
        <v>18</v>
      </c>
      <c r="F837" t="s">
        <v>18</v>
      </c>
      <c r="G837" t="s">
        <v>18</v>
      </c>
      <c r="H837" t="e">
        <f t="shared" si="26"/>
        <v>#VALUE!</v>
      </c>
      <c r="I837" t="str">
        <f t="shared" si="27"/>
        <v>-</v>
      </c>
    </row>
    <row r="838" spans="1:9" x14ac:dyDescent="0.2">
      <c r="A838">
        <v>263428</v>
      </c>
      <c r="B838" t="s">
        <v>19</v>
      </c>
      <c r="C838" t="s">
        <v>8</v>
      </c>
      <c r="D838" t="s">
        <v>20</v>
      </c>
      <c r="E838">
        <v>13452</v>
      </c>
      <c r="F838">
        <v>1050.94</v>
      </c>
      <c r="G838" t="s">
        <v>15</v>
      </c>
      <c r="H838" t="str">
        <f t="shared" si="26"/>
        <v>PSI</v>
      </c>
      <c r="I838">
        <f t="shared" si="27"/>
        <v>15.242596009018607</v>
      </c>
    </row>
    <row r="839" spans="1:9" x14ac:dyDescent="0.2">
      <c r="A839">
        <v>263660</v>
      </c>
      <c r="B839" t="s">
        <v>21</v>
      </c>
      <c r="C839" t="s">
        <v>8</v>
      </c>
      <c r="D839" t="s">
        <v>22</v>
      </c>
      <c r="E839">
        <v>7451</v>
      </c>
      <c r="F839">
        <v>1862.75</v>
      </c>
      <c r="G839" t="s">
        <v>23</v>
      </c>
      <c r="H839" t="e">
        <f t="shared" si="26"/>
        <v>#VALUE!</v>
      </c>
      <c r="I839" t="str">
        <f t="shared" si="27"/>
        <v>-</v>
      </c>
    </row>
    <row r="840" spans="1:9" x14ac:dyDescent="0.2">
      <c r="A840">
        <v>263852</v>
      </c>
      <c r="B840" t="s">
        <v>24</v>
      </c>
      <c r="C840" t="s">
        <v>8</v>
      </c>
      <c r="D840" t="s">
        <v>25</v>
      </c>
      <c r="E840">
        <v>5</v>
      </c>
      <c r="F840">
        <v>5</v>
      </c>
      <c r="G840" t="s">
        <v>26</v>
      </c>
      <c r="H840" t="e">
        <f t="shared" si="26"/>
        <v>#VALUE!</v>
      </c>
      <c r="I840" t="str">
        <f t="shared" si="27"/>
        <v>-</v>
      </c>
    </row>
    <row r="841" spans="1:9" x14ac:dyDescent="0.2">
      <c r="A841">
        <v>264064</v>
      </c>
      <c r="B841" t="s">
        <v>27</v>
      </c>
      <c r="C841" t="s">
        <v>8</v>
      </c>
      <c r="D841" t="s">
        <v>28</v>
      </c>
      <c r="E841">
        <v>600</v>
      </c>
      <c r="F841">
        <v>14.09</v>
      </c>
      <c r="G841" t="s">
        <v>29</v>
      </c>
      <c r="H841" t="e">
        <f t="shared" si="26"/>
        <v>#VALUE!</v>
      </c>
      <c r="I841" t="str">
        <f t="shared" si="27"/>
        <v>-</v>
      </c>
    </row>
    <row r="842" spans="1:9" x14ac:dyDescent="0.2">
      <c r="A842">
        <v>264285</v>
      </c>
      <c r="B842" t="s">
        <v>30</v>
      </c>
      <c r="C842" t="s">
        <v>8</v>
      </c>
      <c r="D842" t="s">
        <v>31</v>
      </c>
      <c r="E842">
        <v>2868</v>
      </c>
      <c r="F842">
        <v>2868</v>
      </c>
      <c r="G842" t="s">
        <v>15</v>
      </c>
      <c r="H842" t="str">
        <f t="shared" si="26"/>
        <v>PSI</v>
      </c>
      <c r="I842">
        <f t="shared" si="27"/>
        <v>41.596823181024</v>
      </c>
    </row>
    <row r="843" spans="1:9" x14ac:dyDescent="0.2">
      <c r="A843">
        <v>264497</v>
      </c>
      <c r="B843" t="s">
        <v>32</v>
      </c>
      <c r="C843" t="s">
        <v>8</v>
      </c>
      <c r="D843" t="s">
        <v>33</v>
      </c>
      <c r="E843">
        <v>3987</v>
      </c>
      <c r="F843">
        <v>0.97</v>
      </c>
      <c r="G843" t="s">
        <v>26</v>
      </c>
      <c r="H843" t="e">
        <f t="shared" si="26"/>
        <v>#VALUE!</v>
      </c>
      <c r="I843" t="str">
        <f t="shared" si="27"/>
        <v>-</v>
      </c>
    </row>
    <row r="844" spans="1:9" x14ac:dyDescent="0.2">
      <c r="A844">
        <v>264709</v>
      </c>
      <c r="B844" t="s">
        <v>34</v>
      </c>
      <c r="C844" t="s">
        <v>8</v>
      </c>
      <c r="D844" t="s">
        <v>35</v>
      </c>
      <c r="E844">
        <v>4011</v>
      </c>
      <c r="F844">
        <v>0.98</v>
      </c>
      <c r="G844" t="s">
        <v>26</v>
      </c>
      <c r="H844" t="e">
        <f t="shared" si="26"/>
        <v>#VALUE!</v>
      </c>
      <c r="I844" t="str">
        <f t="shared" si="27"/>
        <v>-</v>
      </c>
    </row>
    <row r="845" spans="1:9" x14ac:dyDescent="0.2">
      <c r="A845">
        <v>265091</v>
      </c>
      <c r="B845" t="s">
        <v>36</v>
      </c>
      <c r="C845" t="s">
        <v>8</v>
      </c>
      <c r="D845" t="s">
        <v>37</v>
      </c>
      <c r="E845" t="s">
        <v>18</v>
      </c>
      <c r="F845" t="s">
        <v>18</v>
      </c>
      <c r="G845" t="s">
        <v>18</v>
      </c>
      <c r="H845" t="e">
        <f t="shared" si="26"/>
        <v>#VALUE!</v>
      </c>
      <c r="I845" t="str">
        <f t="shared" si="27"/>
        <v>-</v>
      </c>
    </row>
    <row r="846" spans="1:9" x14ac:dyDescent="0.2">
      <c r="A846">
        <v>265473</v>
      </c>
      <c r="B846" t="s">
        <v>38</v>
      </c>
      <c r="C846" t="s">
        <v>8</v>
      </c>
      <c r="D846" t="s">
        <v>39</v>
      </c>
      <c r="E846" t="s">
        <v>18</v>
      </c>
      <c r="F846" t="s">
        <v>18</v>
      </c>
      <c r="G846" t="s">
        <v>18</v>
      </c>
      <c r="H846" t="e">
        <f t="shared" si="26"/>
        <v>#VALUE!</v>
      </c>
      <c r="I846" t="str">
        <f t="shared" si="27"/>
        <v>-</v>
      </c>
    </row>
    <row r="847" spans="1:9" x14ac:dyDescent="0.2">
      <c r="A847">
        <v>265855</v>
      </c>
      <c r="B847" t="s">
        <v>40</v>
      </c>
      <c r="C847" t="s">
        <v>8</v>
      </c>
      <c r="D847" t="s">
        <v>41</v>
      </c>
      <c r="E847" t="s">
        <v>18</v>
      </c>
      <c r="F847" t="s">
        <v>18</v>
      </c>
      <c r="G847" t="s">
        <v>18</v>
      </c>
      <c r="H847" t="e">
        <f t="shared" si="26"/>
        <v>#VALUE!</v>
      </c>
      <c r="I847" t="str">
        <f t="shared" si="27"/>
        <v>-</v>
      </c>
    </row>
    <row r="848" spans="1:9" x14ac:dyDescent="0.2">
      <c r="A848">
        <v>266067</v>
      </c>
      <c r="B848" t="s">
        <v>42</v>
      </c>
      <c r="C848" t="s">
        <v>8</v>
      </c>
      <c r="D848" t="s">
        <v>43</v>
      </c>
      <c r="E848">
        <v>10532</v>
      </c>
      <c r="F848">
        <v>5.27</v>
      </c>
      <c r="G848" t="s">
        <v>44</v>
      </c>
      <c r="H848" t="str">
        <f t="shared" si="26"/>
        <v>PSI</v>
      </c>
      <c r="I848">
        <f t="shared" si="27"/>
        <v>764.3488778382025</v>
      </c>
    </row>
    <row r="849" spans="1:9" x14ac:dyDescent="0.2">
      <c r="A849">
        <v>266259</v>
      </c>
      <c r="B849" t="s">
        <v>45</v>
      </c>
      <c r="C849" t="s">
        <v>8</v>
      </c>
      <c r="D849" t="s">
        <v>46</v>
      </c>
      <c r="E849">
        <v>1</v>
      </c>
      <c r="F849">
        <v>1</v>
      </c>
      <c r="G849" t="s">
        <v>15</v>
      </c>
      <c r="H849" t="str">
        <f t="shared" si="26"/>
        <v>PSI</v>
      </c>
      <c r="I849">
        <f t="shared" si="27"/>
        <v>1.4503773773020921E-2</v>
      </c>
    </row>
    <row r="850" spans="1:9" x14ac:dyDescent="0.2">
      <c r="A850">
        <v>266501</v>
      </c>
      <c r="B850" t="s">
        <v>47</v>
      </c>
      <c r="C850" t="s">
        <v>8</v>
      </c>
      <c r="D850" t="s">
        <v>48</v>
      </c>
      <c r="E850">
        <v>2324</v>
      </c>
      <c r="F850">
        <v>232.4</v>
      </c>
      <c r="G850" t="s">
        <v>49</v>
      </c>
      <c r="H850" t="e">
        <f t="shared" si="26"/>
        <v>#VALUE!</v>
      </c>
      <c r="I850" t="str">
        <f t="shared" si="27"/>
        <v>-</v>
      </c>
    </row>
    <row r="851" spans="1:9" x14ac:dyDescent="0.2">
      <c r="A851">
        <v>266723</v>
      </c>
      <c r="B851" t="s">
        <v>50</v>
      </c>
      <c r="C851" t="s">
        <v>8</v>
      </c>
      <c r="D851" t="s">
        <v>51</v>
      </c>
      <c r="E851">
        <v>24724</v>
      </c>
      <c r="F851">
        <v>965.78</v>
      </c>
      <c r="G851" t="s">
        <v>15</v>
      </c>
      <c r="H851" t="str">
        <f t="shared" si="26"/>
        <v>PSI</v>
      </c>
      <c r="I851">
        <f t="shared" si="27"/>
        <v>14.007454634508145</v>
      </c>
    </row>
    <row r="852" spans="1:9" x14ac:dyDescent="0.2">
      <c r="A852">
        <v>266934</v>
      </c>
      <c r="B852" t="s">
        <v>52</v>
      </c>
      <c r="C852" t="s">
        <v>8</v>
      </c>
      <c r="D852" t="s">
        <v>53</v>
      </c>
      <c r="E852">
        <v>95</v>
      </c>
      <c r="F852">
        <v>23.25</v>
      </c>
      <c r="G852" t="s">
        <v>10</v>
      </c>
      <c r="H852" t="e">
        <f t="shared" si="26"/>
        <v>#VALUE!</v>
      </c>
      <c r="I852" t="str">
        <f t="shared" si="27"/>
        <v>-</v>
      </c>
    </row>
    <row r="853" spans="1:9" x14ac:dyDescent="0.2">
      <c r="A853">
        <v>267126</v>
      </c>
      <c r="B853" t="s">
        <v>54</v>
      </c>
      <c r="C853" t="s">
        <v>8</v>
      </c>
      <c r="D853" t="s">
        <v>55</v>
      </c>
      <c r="E853">
        <v>21</v>
      </c>
      <c r="F853">
        <v>84</v>
      </c>
      <c r="G853" t="s">
        <v>56</v>
      </c>
      <c r="H853" t="e">
        <f t="shared" si="26"/>
        <v>#VALUE!</v>
      </c>
      <c r="I853" t="str">
        <f t="shared" si="27"/>
        <v>-</v>
      </c>
    </row>
    <row r="854" spans="1:9" x14ac:dyDescent="0.2">
      <c r="A854">
        <v>267508</v>
      </c>
      <c r="B854" t="s">
        <v>57</v>
      </c>
      <c r="C854" t="s">
        <v>8</v>
      </c>
      <c r="D854" t="s">
        <v>58</v>
      </c>
      <c r="E854" t="s">
        <v>18</v>
      </c>
      <c r="F854" t="s">
        <v>18</v>
      </c>
      <c r="G854" t="s">
        <v>18</v>
      </c>
      <c r="H854" t="e">
        <f t="shared" si="26"/>
        <v>#VALUE!</v>
      </c>
      <c r="I854" t="str">
        <f t="shared" si="27"/>
        <v>-</v>
      </c>
    </row>
    <row r="855" spans="1:9" x14ac:dyDescent="0.2">
      <c r="A855">
        <v>267890</v>
      </c>
      <c r="B855" t="s">
        <v>59</v>
      </c>
      <c r="C855" t="s">
        <v>8</v>
      </c>
      <c r="D855" t="s">
        <v>60</v>
      </c>
      <c r="E855" t="s">
        <v>18</v>
      </c>
      <c r="F855" t="s">
        <v>18</v>
      </c>
      <c r="G855" t="s">
        <v>18</v>
      </c>
      <c r="H855" t="e">
        <f t="shared" si="26"/>
        <v>#VALUE!</v>
      </c>
      <c r="I855" t="str">
        <f t="shared" si="27"/>
        <v>-</v>
      </c>
    </row>
    <row r="856" spans="1:9" x14ac:dyDescent="0.2">
      <c r="A856">
        <v>268272</v>
      </c>
      <c r="B856" t="s">
        <v>61</v>
      </c>
      <c r="C856" t="s">
        <v>8</v>
      </c>
      <c r="D856" t="s">
        <v>62</v>
      </c>
      <c r="E856" t="s">
        <v>18</v>
      </c>
      <c r="F856" t="s">
        <v>18</v>
      </c>
      <c r="G856" t="s">
        <v>18</v>
      </c>
      <c r="H856" t="e">
        <f t="shared" si="26"/>
        <v>#VALUE!</v>
      </c>
      <c r="I856" t="str">
        <f t="shared" si="27"/>
        <v>-</v>
      </c>
    </row>
    <row r="857" spans="1:9" x14ac:dyDescent="0.2">
      <c r="A857">
        <v>268663</v>
      </c>
      <c r="B857" t="s">
        <v>63</v>
      </c>
      <c r="C857" t="s">
        <v>8</v>
      </c>
      <c r="D857" t="s">
        <v>64</v>
      </c>
      <c r="E857" t="s">
        <v>18</v>
      </c>
      <c r="F857" t="s">
        <v>18</v>
      </c>
      <c r="G857" t="s">
        <v>18</v>
      </c>
      <c r="H857" t="e">
        <f t="shared" si="26"/>
        <v>#VALUE!</v>
      </c>
      <c r="I857" t="str">
        <f t="shared" si="27"/>
        <v>-</v>
      </c>
    </row>
    <row r="858" spans="1:9" x14ac:dyDescent="0.2">
      <c r="A858">
        <v>268915</v>
      </c>
      <c r="B858" t="s">
        <v>65</v>
      </c>
      <c r="C858" t="s">
        <v>8</v>
      </c>
      <c r="D858" t="s">
        <v>66</v>
      </c>
      <c r="E858">
        <v>27311</v>
      </c>
      <c r="F858">
        <v>3.33</v>
      </c>
      <c r="G858" t="s">
        <v>67</v>
      </c>
      <c r="H858" t="e">
        <f t="shared" si="26"/>
        <v>#VALUE!</v>
      </c>
      <c r="I858" t="str">
        <f t="shared" si="27"/>
        <v>-</v>
      </c>
    </row>
    <row r="859" spans="1:9" x14ac:dyDescent="0.2">
      <c r="A859">
        <v>269307</v>
      </c>
      <c r="B859" t="s">
        <v>68</v>
      </c>
      <c r="C859" t="s">
        <v>8</v>
      </c>
      <c r="D859" t="s">
        <v>69</v>
      </c>
      <c r="E859" t="s">
        <v>18</v>
      </c>
      <c r="F859" t="s">
        <v>18</v>
      </c>
      <c r="G859" t="s">
        <v>18</v>
      </c>
      <c r="H859" t="e">
        <f t="shared" si="26"/>
        <v>#VALUE!</v>
      </c>
      <c r="I859" t="str">
        <f t="shared" si="27"/>
        <v>-</v>
      </c>
    </row>
    <row r="860" spans="1:9" x14ac:dyDescent="0.2">
      <c r="A860">
        <v>269509</v>
      </c>
      <c r="B860" t="s">
        <v>7</v>
      </c>
      <c r="C860" t="s">
        <v>8</v>
      </c>
      <c r="D860" t="s">
        <v>9</v>
      </c>
      <c r="E860">
        <v>163</v>
      </c>
      <c r="F860">
        <v>103</v>
      </c>
      <c r="G860" t="s">
        <v>10</v>
      </c>
      <c r="H860" t="e">
        <f t="shared" si="26"/>
        <v>#VALUE!</v>
      </c>
      <c r="I860" t="str">
        <f t="shared" si="27"/>
        <v>-</v>
      </c>
    </row>
    <row r="861" spans="1:9" x14ac:dyDescent="0.2">
      <c r="A861">
        <v>269711</v>
      </c>
      <c r="B861" t="s">
        <v>11</v>
      </c>
      <c r="C861" t="s">
        <v>8</v>
      </c>
      <c r="D861" t="s">
        <v>12</v>
      </c>
      <c r="E861">
        <v>203</v>
      </c>
      <c r="F861">
        <v>104.25</v>
      </c>
      <c r="G861" t="s">
        <v>10</v>
      </c>
      <c r="H861" t="e">
        <f t="shared" si="26"/>
        <v>#VALUE!</v>
      </c>
      <c r="I861" t="str">
        <f t="shared" si="27"/>
        <v>-</v>
      </c>
    </row>
    <row r="862" spans="1:9" x14ac:dyDescent="0.2">
      <c r="A862">
        <v>269933</v>
      </c>
      <c r="B862" t="s">
        <v>13</v>
      </c>
      <c r="C862" t="s">
        <v>8</v>
      </c>
      <c r="D862" t="s">
        <v>14</v>
      </c>
      <c r="E862">
        <v>26092</v>
      </c>
      <c r="F862">
        <v>1019.22</v>
      </c>
      <c r="G862" t="s">
        <v>15</v>
      </c>
      <c r="H862" t="str">
        <f t="shared" si="26"/>
        <v>PSI</v>
      </c>
      <c r="I862">
        <f t="shared" si="27"/>
        <v>14.782536304938382</v>
      </c>
    </row>
    <row r="863" spans="1:9" x14ac:dyDescent="0.2">
      <c r="A863">
        <v>270305</v>
      </c>
      <c r="B863" t="s">
        <v>16</v>
      </c>
      <c r="C863" t="s">
        <v>8</v>
      </c>
      <c r="D863" t="s">
        <v>17</v>
      </c>
      <c r="E863" t="s">
        <v>18</v>
      </c>
      <c r="F863" t="s">
        <v>18</v>
      </c>
      <c r="G863" t="s">
        <v>18</v>
      </c>
      <c r="H863" t="e">
        <f t="shared" si="26"/>
        <v>#VALUE!</v>
      </c>
      <c r="I863" t="str">
        <f t="shared" si="27"/>
        <v>-</v>
      </c>
    </row>
    <row r="864" spans="1:9" x14ac:dyDescent="0.2">
      <c r="A864">
        <v>270517</v>
      </c>
      <c r="B864" t="s">
        <v>19</v>
      </c>
      <c r="C864" t="s">
        <v>8</v>
      </c>
      <c r="D864" t="s">
        <v>20</v>
      </c>
      <c r="E864">
        <v>13358</v>
      </c>
      <c r="F864">
        <v>1043.5899999999999</v>
      </c>
      <c r="G864" t="s">
        <v>15</v>
      </c>
      <c r="H864" t="str">
        <f t="shared" si="26"/>
        <v>PSI</v>
      </c>
      <c r="I864">
        <f t="shared" si="27"/>
        <v>15.135993271786901</v>
      </c>
    </row>
    <row r="865" spans="1:9" x14ac:dyDescent="0.2">
      <c r="A865">
        <v>270729</v>
      </c>
      <c r="B865" t="s">
        <v>21</v>
      </c>
      <c r="C865" t="s">
        <v>8</v>
      </c>
      <c r="D865" t="s">
        <v>22</v>
      </c>
      <c r="E865">
        <v>7643</v>
      </c>
      <c r="F865">
        <v>1910.75</v>
      </c>
      <c r="G865" t="s">
        <v>23</v>
      </c>
      <c r="H865" t="e">
        <f t="shared" si="26"/>
        <v>#VALUE!</v>
      </c>
      <c r="I865" t="str">
        <f t="shared" si="27"/>
        <v>-</v>
      </c>
    </row>
    <row r="866" spans="1:9" x14ac:dyDescent="0.2">
      <c r="A866">
        <v>270922</v>
      </c>
      <c r="B866" t="s">
        <v>24</v>
      </c>
      <c r="C866" t="s">
        <v>8</v>
      </c>
      <c r="D866" t="s">
        <v>25</v>
      </c>
      <c r="E866">
        <v>4</v>
      </c>
      <c r="F866">
        <v>4</v>
      </c>
      <c r="G866" t="s">
        <v>26</v>
      </c>
      <c r="H866" t="e">
        <f t="shared" si="26"/>
        <v>#VALUE!</v>
      </c>
      <c r="I866" t="str">
        <f t="shared" si="27"/>
        <v>-</v>
      </c>
    </row>
    <row r="867" spans="1:9" x14ac:dyDescent="0.2">
      <c r="A867">
        <v>271143</v>
      </c>
      <c r="B867" t="s">
        <v>27</v>
      </c>
      <c r="C867" t="s">
        <v>8</v>
      </c>
      <c r="D867" t="s">
        <v>28</v>
      </c>
      <c r="E867">
        <v>602</v>
      </c>
      <c r="F867">
        <v>14.14</v>
      </c>
      <c r="G867" t="s">
        <v>29</v>
      </c>
      <c r="H867" t="e">
        <f t="shared" si="26"/>
        <v>#VALUE!</v>
      </c>
      <c r="I867" t="str">
        <f t="shared" si="27"/>
        <v>-</v>
      </c>
    </row>
    <row r="868" spans="1:9" x14ac:dyDescent="0.2">
      <c r="A868">
        <v>271345</v>
      </c>
      <c r="B868" t="s">
        <v>30</v>
      </c>
      <c r="C868" t="s">
        <v>8</v>
      </c>
      <c r="D868" t="s">
        <v>31</v>
      </c>
      <c r="E868">
        <v>2745</v>
      </c>
      <c r="F868">
        <v>2745</v>
      </c>
      <c r="G868" t="s">
        <v>15</v>
      </c>
      <c r="H868" t="str">
        <f t="shared" si="26"/>
        <v>PSI</v>
      </c>
      <c r="I868">
        <f t="shared" si="27"/>
        <v>39.812859006942425</v>
      </c>
    </row>
    <row r="869" spans="1:9" x14ac:dyDescent="0.2">
      <c r="A869">
        <v>271558</v>
      </c>
      <c r="B869" t="s">
        <v>32</v>
      </c>
      <c r="C869" t="s">
        <v>8</v>
      </c>
      <c r="D869" t="s">
        <v>33</v>
      </c>
      <c r="E869">
        <v>4276</v>
      </c>
      <c r="F869">
        <v>1.04</v>
      </c>
      <c r="G869" t="s">
        <v>26</v>
      </c>
      <c r="H869" t="e">
        <f t="shared" si="26"/>
        <v>#VALUE!</v>
      </c>
      <c r="I869" t="str">
        <f t="shared" si="27"/>
        <v>-</v>
      </c>
    </row>
    <row r="870" spans="1:9" x14ac:dyDescent="0.2">
      <c r="A870">
        <v>271770</v>
      </c>
      <c r="B870" t="s">
        <v>34</v>
      </c>
      <c r="C870" t="s">
        <v>8</v>
      </c>
      <c r="D870" t="s">
        <v>35</v>
      </c>
      <c r="E870">
        <v>4171</v>
      </c>
      <c r="F870">
        <v>1.02</v>
      </c>
      <c r="G870" t="s">
        <v>26</v>
      </c>
      <c r="H870" t="e">
        <f t="shared" si="26"/>
        <v>#VALUE!</v>
      </c>
      <c r="I870" t="str">
        <f t="shared" si="27"/>
        <v>-</v>
      </c>
    </row>
    <row r="871" spans="1:9" x14ac:dyDescent="0.2">
      <c r="A871">
        <v>272152</v>
      </c>
      <c r="B871" t="s">
        <v>36</v>
      </c>
      <c r="C871" t="s">
        <v>8</v>
      </c>
      <c r="D871" t="s">
        <v>37</v>
      </c>
      <c r="E871" t="s">
        <v>18</v>
      </c>
      <c r="F871" t="s">
        <v>18</v>
      </c>
      <c r="G871" t="s">
        <v>18</v>
      </c>
      <c r="H871" t="e">
        <f t="shared" si="26"/>
        <v>#VALUE!</v>
      </c>
      <c r="I871" t="str">
        <f t="shared" si="27"/>
        <v>-</v>
      </c>
    </row>
    <row r="872" spans="1:9" x14ac:dyDescent="0.2">
      <c r="A872">
        <v>272534</v>
      </c>
      <c r="B872" t="s">
        <v>38</v>
      </c>
      <c r="C872" t="s">
        <v>8</v>
      </c>
      <c r="D872" t="s">
        <v>39</v>
      </c>
      <c r="E872" t="s">
        <v>18</v>
      </c>
      <c r="F872" t="s">
        <v>18</v>
      </c>
      <c r="G872" t="s">
        <v>18</v>
      </c>
      <c r="H872" t="e">
        <f t="shared" si="26"/>
        <v>#VALUE!</v>
      </c>
      <c r="I872" t="str">
        <f t="shared" si="27"/>
        <v>-</v>
      </c>
    </row>
    <row r="873" spans="1:9" x14ac:dyDescent="0.2">
      <c r="A873">
        <v>272916</v>
      </c>
      <c r="B873" t="s">
        <v>40</v>
      </c>
      <c r="C873" t="s">
        <v>8</v>
      </c>
      <c r="D873" t="s">
        <v>41</v>
      </c>
      <c r="E873" t="s">
        <v>18</v>
      </c>
      <c r="F873" t="s">
        <v>18</v>
      </c>
      <c r="G873" t="s">
        <v>18</v>
      </c>
      <c r="H873" t="e">
        <f t="shared" si="26"/>
        <v>#VALUE!</v>
      </c>
      <c r="I873" t="str">
        <f t="shared" si="27"/>
        <v>-</v>
      </c>
    </row>
    <row r="874" spans="1:9" x14ac:dyDescent="0.2">
      <c r="A874">
        <v>273128</v>
      </c>
      <c r="B874" t="s">
        <v>42</v>
      </c>
      <c r="C874" t="s">
        <v>8</v>
      </c>
      <c r="D874" t="s">
        <v>43</v>
      </c>
      <c r="E874">
        <v>13919</v>
      </c>
      <c r="F874">
        <v>6.96</v>
      </c>
      <c r="G874" t="s">
        <v>44</v>
      </c>
      <c r="H874" t="str">
        <f t="shared" si="26"/>
        <v>PSI</v>
      </c>
      <c r="I874">
        <f t="shared" si="27"/>
        <v>1009.4626546022561</v>
      </c>
    </row>
    <row r="875" spans="1:9" x14ac:dyDescent="0.2">
      <c r="A875">
        <v>273320</v>
      </c>
      <c r="B875" t="s">
        <v>45</v>
      </c>
      <c r="C875" t="s">
        <v>8</v>
      </c>
      <c r="D875" t="s">
        <v>46</v>
      </c>
      <c r="E875">
        <v>1</v>
      </c>
      <c r="F875">
        <v>1</v>
      </c>
      <c r="G875" t="s">
        <v>15</v>
      </c>
      <c r="H875" t="str">
        <f t="shared" si="26"/>
        <v>PSI</v>
      </c>
      <c r="I875">
        <f t="shared" si="27"/>
        <v>1.4503773773020921E-2</v>
      </c>
    </row>
    <row r="876" spans="1:9" x14ac:dyDescent="0.2">
      <c r="A876">
        <v>273532</v>
      </c>
      <c r="B876" t="s">
        <v>47</v>
      </c>
      <c r="C876" t="s">
        <v>8</v>
      </c>
      <c r="D876" t="s">
        <v>48</v>
      </c>
      <c r="E876">
        <v>2395</v>
      </c>
      <c r="F876">
        <v>239.5</v>
      </c>
      <c r="G876" t="s">
        <v>49</v>
      </c>
      <c r="H876" t="e">
        <f t="shared" si="26"/>
        <v>#VALUE!</v>
      </c>
      <c r="I876" t="str">
        <f t="shared" si="27"/>
        <v>-</v>
      </c>
    </row>
    <row r="877" spans="1:9" x14ac:dyDescent="0.2">
      <c r="A877">
        <v>273744</v>
      </c>
      <c r="B877" t="s">
        <v>50</v>
      </c>
      <c r="C877" t="s">
        <v>8</v>
      </c>
      <c r="D877" t="s">
        <v>51</v>
      </c>
      <c r="E877">
        <v>24733</v>
      </c>
      <c r="F877">
        <v>966.13</v>
      </c>
      <c r="G877" t="s">
        <v>15</v>
      </c>
      <c r="H877" t="str">
        <f t="shared" si="26"/>
        <v>PSI</v>
      </c>
      <c r="I877">
        <f t="shared" si="27"/>
        <v>14.012530955328701</v>
      </c>
    </row>
    <row r="878" spans="1:9" x14ac:dyDescent="0.2">
      <c r="A878">
        <v>273936</v>
      </c>
      <c r="B878" t="s">
        <v>52</v>
      </c>
      <c r="C878" t="s">
        <v>8</v>
      </c>
      <c r="D878" t="s">
        <v>53</v>
      </c>
      <c r="E878">
        <v>95</v>
      </c>
      <c r="F878">
        <v>23.25</v>
      </c>
      <c r="G878" t="s">
        <v>10</v>
      </c>
      <c r="H878" t="e">
        <f t="shared" si="26"/>
        <v>#VALUE!</v>
      </c>
      <c r="I878" t="str">
        <f t="shared" si="27"/>
        <v>-</v>
      </c>
    </row>
    <row r="879" spans="1:9" x14ac:dyDescent="0.2">
      <c r="A879">
        <v>274128</v>
      </c>
      <c r="B879" t="s">
        <v>54</v>
      </c>
      <c r="C879" t="s">
        <v>8</v>
      </c>
      <c r="D879" t="s">
        <v>55</v>
      </c>
      <c r="E879">
        <v>7</v>
      </c>
      <c r="F879">
        <v>28</v>
      </c>
      <c r="G879" t="s">
        <v>56</v>
      </c>
      <c r="H879" t="e">
        <f t="shared" si="26"/>
        <v>#VALUE!</v>
      </c>
      <c r="I879" t="str">
        <f t="shared" si="27"/>
        <v>-</v>
      </c>
    </row>
    <row r="880" spans="1:9" x14ac:dyDescent="0.2">
      <c r="A880">
        <v>274500</v>
      </c>
      <c r="B880" t="s">
        <v>57</v>
      </c>
      <c r="C880" t="s">
        <v>8</v>
      </c>
      <c r="D880" t="s">
        <v>58</v>
      </c>
      <c r="E880" t="s">
        <v>18</v>
      </c>
      <c r="F880" t="s">
        <v>18</v>
      </c>
      <c r="G880" t="s">
        <v>18</v>
      </c>
      <c r="H880" t="e">
        <f t="shared" si="26"/>
        <v>#VALUE!</v>
      </c>
      <c r="I880" t="str">
        <f t="shared" si="27"/>
        <v>-</v>
      </c>
    </row>
    <row r="881" spans="1:9" x14ac:dyDescent="0.2">
      <c r="A881">
        <v>274882</v>
      </c>
      <c r="B881" t="s">
        <v>59</v>
      </c>
      <c r="C881" t="s">
        <v>8</v>
      </c>
      <c r="D881" t="s">
        <v>60</v>
      </c>
      <c r="E881" t="s">
        <v>18</v>
      </c>
      <c r="F881" t="s">
        <v>18</v>
      </c>
      <c r="G881" t="s">
        <v>18</v>
      </c>
      <c r="H881" t="e">
        <f t="shared" si="26"/>
        <v>#VALUE!</v>
      </c>
      <c r="I881" t="str">
        <f t="shared" si="27"/>
        <v>-</v>
      </c>
    </row>
    <row r="882" spans="1:9" x14ac:dyDescent="0.2">
      <c r="A882">
        <v>275264</v>
      </c>
      <c r="B882" t="s">
        <v>61</v>
      </c>
      <c r="C882" t="s">
        <v>8</v>
      </c>
      <c r="D882" t="s">
        <v>62</v>
      </c>
      <c r="E882" t="s">
        <v>18</v>
      </c>
      <c r="F882" t="s">
        <v>18</v>
      </c>
      <c r="G882" t="s">
        <v>18</v>
      </c>
      <c r="H882" t="e">
        <f t="shared" si="26"/>
        <v>#VALUE!</v>
      </c>
      <c r="I882" t="str">
        <f t="shared" si="27"/>
        <v>-</v>
      </c>
    </row>
    <row r="883" spans="1:9" x14ac:dyDescent="0.2">
      <c r="A883">
        <v>275646</v>
      </c>
      <c r="B883" t="s">
        <v>63</v>
      </c>
      <c r="C883" t="s">
        <v>8</v>
      </c>
      <c r="D883" t="s">
        <v>64</v>
      </c>
      <c r="E883" t="s">
        <v>18</v>
      </c>
      <c r="F883" t="s">
        <v>18</v>
      </c>
      <c r="G883" t="s">
        <v>18</v>
      </c>
      <c r="H883" t="e">
        <f t="shared" si="26"/>
        <v>#VALUE!</v>
      </c>
      <c r="I883" t="str">
        <f t="shared" si="27"/>
        <v>-</v>
      </c>
    </row>
    <row r="884" spans="1:9" x14ac:dyDescent="0.2">
      <c r="A884">
        <v>275898</v>
      </c>
      <c r="B884" t="s">
        <v>65</v>
      </c>
      <c r="C884" t="s">
        <v>8</v>
      </c>
      <c r="D884" t="s">
        <v>66</v>
      </c>
      <c r="E884">
        <v>27345</v>
      </c>
      <c r="F884">
        <v>3.34</v>
      </c>
      <c r="G884" t="s">
        <v>67</v>
      </c>
      <c r="H884" t="e">
        <f t="shared" si="26"/>
        <v>#VALUE!</v>
      </c>
      <c r="I884" t="str">
        <f t="shared" si="27"/>
        <v>-</v>
      </c>
    </row>
    <row r="885" spans="1:9" x14ac:dyDescent="0.2">
      <c r="A885">
        <v>276280</v>
      </c>
      <c r="B885" t="s">
        <v>68</v>
      </c>
      <c r="C885" t="s">
        <v>8</v>
      </c>
      <c r="D885" t="s">
        <v>69</v>
      </c>
      <c r="E885" t="s">
        <v>18</v>
      </c>
      <c r="F885" t="s">
        <v>18</v>
      </c>
      <c r="G885" t="s">
        <v>18</v>
      </c>
      <c r="H885" t="e">
        <f t="shared" si="26"/>
        <v>#VALUE!</v>
      </c>
      <c r="I885" t="str">
        <f t="shared" si="27"/>
        <v>-</v>
      </c>
    </row>
    <row r="886" spans="1:9" x14ac:dyDescent="0.2">
      <c r="A886">
        <v>276472</v>
      </c>
      <c r="B886" t="s">
        <v>7</v>
      </c>
      <c r="C886" t="s">
        <v>8</v>
      </c>
      <c r="D886" t="s">
        <v>9</v>
      </c>
      <c r="E886">
        <v>163</v>
      </c>
      <c r="F886">
        <v>103</v>
      </c>
      <c r="G886" t="s">
        <v>10</v>
      </c>
      <c r="H886" t="e">
        <f t="shared" si="26"/>
        <v>#VALUE!</v>
      </c>
      <c r="I886" t="str">
        <f t="shared" si="27"/>
        <v>-</v>
      </c>
    </row>
    <row r="887" spans="1:9" x14ac:dyDescent="0.2">
      <c r="A887">
        <v>276654</v>
      </c>
      <c r="B887" t="s">
        <v>11</v>
      </c>
      <c r="C887" t="s">
        <v>8</v>
      </c>
      <c r="D887" t="s">
        <v>12</v>
      </c>
      <c r="E887">
        <v>204</v>
      </c>
      <c r="F887">
        <v>105</v>
      </c>
      <c r="G887" t="s">
        <v>10</v>
      </c>
      <c r="H887" t="e">
        <f t="shared" si="26"/>
        <v>#VALUE!</v>
      </c>
      <c r="I887" t="str">
        <f t="shared" si="27"/>
        <v>-</v>
      </c>
    </row>
    <row r="888" spans="1:9" x14ac:dyDescent="0.2">
      <c r="A888">
        <v>276866</v>
      </c>
      <c r="B888" t="s">
        <v>13</v>
      </c>
      <c r="C888" t="s">
        <v>8</v>
      </c>
      <c r="D888" t="s">
        <v>14</v>
      </c>
      <c r="E888">
        <v>26092</v>
      </c>
      <c r="F888">
        <v>1019.22</v>
      </c>
      <c r="G888" t="s">
        <v>15</v>
      </c>
      <c r="H888" t="str">
        <f t="shared" si="26"/>
        <v>PSI</v>
      </c>
      <c r="I888">
        <f t="shared" si="27"/>
        <v>14.782536304938382</v>
      </c>
    </row>
    <row r="889" spans="1:9" x14ac:dyDescent="0.2">
      <c r="A889">
        <v>277238</v>
      </c>
      <c r="B889" t="s">
        <v>16</v>
      </c>
      <c r="C889" t="s">
        <v>8</v>
      </c>
      <c r="D889" t="s">
        <v>17</v>
      </c>
      <c r="E889" t="s">
        <v>18</v>
      </c>
      <c r="F889" t="s">
        <v>18</v>
      </c>
      <c r="G889" t="s">
        <v>18</v>
      </c>
      <c r="H889" t="e">
        <f t="shared" si="26"/>
        <v>#VALUE!</v>
      </c>
      <c r="I889" t="str">
        <f t="shared" si="27"/>
        <v>-</v>
      </c>
    </row>
    <row r="890" spans="1:9" x14ac:dyDescent="0.2">
      <c r="A890">
        <v>277450</v>
      </c>
      <c r="B890" t="s">
        <v>19</v>
      </c>
      <c r="C890" t="s">
        <v>8</v>
      </c>
      <c r="D890" t="s">
        <v>20</v>
      </c>
      <c r="E890">
        <v>13229</v>
      </c>
      <c r="F890">
        <v>1033.52</v>
      </c>
      <c r="G890" t="s">
        <v>15</v>
      </c>
      <c r="H890" t="str">
        <f t="shared" si="26"/>
        <v>PSI</v>
      </c>
      <c r="I890">
        <f t="shared" si="27"/>
        <v>14.989940269892582</v>
      </c>
    </row>
    <row r="891" spans="1:9" x14ac:dyDescent="0.2">
      <c r="A891">
        <v>277663</v>
      </c>
      <c r="B891" t="s">
        <v>21</v>
      </c>
      <c r="C891" t="s">
        <v>8</v>
      </c>
      <c r="D891" t="s">
        <v>22</v>
      </c>
      <c r="E891">
        <v>8177</v>
      </c>
      <c r="F891">
        <v>2044.25</v>
      </c>
      <c r="G891" t="s">
        <v>23</v>
      </c>
      <c r="H891" t="e">
        <f t="shared" si="26"/>
        <v>#VALUE!</v>
      </c>
      <c r="I891" t="str">
        <f t="shared" si="27"/>
        <v>-</v>
      </c>
    </row>
    <row r="892" spans="1:9" x14ac:dyDescent="0.2">
      <c r="A892">
        <v>277855</v>
      </c>
      <c r="B892" t="s">
        <v>24</v>
      </c>
      <c r="C892" t="s">
        <v>8</v>
      </c>
      <c r="D892" t="s">
        <v>25</v>
      </c>
      <c r="E892">
        <v>4</v>
      </c>
      <c r="F892">
        <v>4</v>
      </c>
      <c r="G892" t="s">
        <v>26</v>
      </c>
      <c r="H892" t="e">
        <f t="shared" si="26"/>
        <v>#VALUE!</v>
      </c>
      <c r="I892" t="str">
        <f t="shared" si="27"/>
        <v>-</v>
      </c>
    </row>
    <row r="893" spans="1:9" x14ac:dyDescent="0.2">
      <c r="A893">
        <v>278067</v>
      </c>
      <c r="B893" t="s">
        <v>27</v>
      </c>
      <c r="C893" t="s">
        <v>8</v>
      </c>
      <c r="D893" t="s">
        <v>28</v>
      </c>
      <c r="E893">
        <v>603</v>
      </c>
      <c r="F893">
        <v>14.16</v>
      </c>
      <c r="G893" t="s">
        <v>29</v>
      </c>
      <c r="H893" t="e">
        <f t="shared" si="26"/>
        <v>#VALUE!</v>
      </c>
      <c r="I893" t="str">
        <f t="shared" si="27"/>
        <v>-</v>
      </c>
    </row>
    <row r="894" spans="1:9" x14ac:dyDescent="0.2">
      <c r="A894">
        <v>278279</v>
      </c>
      <c r="B894" t="s">
        <v>30</v>
      </c>
      <c r="C894" t="s">
        <v>8</v>
      </c>
      <c r="D894" t="s">
        <v>31</v>
      </c>
      <c r="E894">
        <v>3206</v>
      </c>
      <c r="F894">
        <v>3206</v>
      </c>
      <c r="G894" t="s">
        <v>15</v>
      </c>
      <c r="H894" t="str">
        <f t="shared" si="26"/>
        <v>PSI</v>
      </c>
      <c r="I894">
        <f t="shared" si="27"/>
        <v>46.49909871630507</v>
      </c>
    </row>
    <row r="895" spans="1:9" x14ac:dyDescent="0.2">
      <c r="A895">
        <v>278491</v>
      </c>
      <c r="B895" t="s">
        <v>32</v>
      </c>
      <c r="C895" t="s">
        <v>8</v>
      </c>
      <c r="D895" t="s">
        <v>33</v>
      </c>
      <c r="E895">
        <v>17</v>
      </c>
      <c r="F895">
        <v>0</v>
      </c>
      <c r="G895" t="s">
        <v>26</v>
      </c>
      <c r="H895" t="e">
        <f t="shared" si="26"/>
        <v>#VALUE!</v>
      </c>
      <c r="I895" t="str">
        <f t="shared" si="27"/>
        <v>-</v>
      </c>
    </row>
    <row r="896" spans="1:9" x14ac:dyDescent="0.2">
      <c r="A896">
        <v>278703</v>
      </c>
      <c r="B896" t="s">
        <v>34</v>
      </c>
      <c r="C896" t="s">
        <v>8</v>
      </c>
      <c r="D896" t="s">
        <v>35</v>
      </c>
      <c r="E896">
        <v>3929</v>
      </c>
      <c r="F896">
        <v>0.96</v>
      </c>
      <c r="G896" t="s">
        <v>26</v>
      </c>
      <c r="H896" t="e">
        <f t="shared" si="26"/>
        <v>#VALUE!</v>
      </c>
      <c r="I896" t="str">
        <f t="shared" si="27"/>
        <v>-</v>
      </c>
    </row>
    <row r="897" spans="1:9" x14ac:dyDescent="0.2">
      <c r="A897">
        <v>279085</v>
      </c>
      <c r="B897" t="s">
        <v>36</v>
      </c>
      <c r="C897" t="s">
        <v>8</v>
      </c>
      <c r="D897" t="s">
        <v>37</v>
      </c>
      <c r="E897" t="s">
        <v>18</v>
      </c>
      <c r="F897" t="s">
        <v>18</v>
      </c>
      <c r="G897" t="s">
        <v>18</v>
      </c>
      <c r="H897" t="e">
        <f t="shared" si="26"/>
        <v>#VALUE!</v>
      </c>
      <c r="I897" t="str">
        <f t="shared" si="27"/>
        <v>-</v>
      </c>
    </row>
    <row r="898" spans="1:9" x14ac:dyDescent="0.2">
      <c r="A898">
        <v>279467</v>
      </c>
      <c r="B898" t="s">
        <v>38</v>
      </c>
      <c r="C898" t="s">
        <v>8</v>
      </c>
      <c r="D898" t="s">
        <v>39</v>
      </c>
      <c r="E898" t="s">
        <v>18</v>
      </c>
      <c r="F898" t="s">
        <v>18</v>
      </c>
      <c r="G898" t="s">
        <v>18</v>
      </c>
      <c r="H898" t="e">
        <f t="shared" si="26"/>
        <v>#VALUE!</v>
      </c>
      <c r="I898" t="str">
        <f t="shared" si="27"/>
        <v>-</v>
      </c>
    </row>
    <row r="899" spans="1:9" x14ac:dyDescent="0.2">
      <c r="A899">
        <v>279849</v>
      </c>
      <c r="B899" t="s">
        <v>40</v>
      </c>
      <c r="C899" t="s">
        <v>8</v>
      </c>
      <c r="D899" t="s">
        <v>41</v>
      </c>
      <c r="E899" t="s">
        <v>18</v>
      </c>
      <c r="F899" t="s">
        <v>18</v>
      </c>
      <c r="G899" t="s">
        <v>18</v>
      </c>
      <c r="H899" t="e">
        <f t="shared" ref="H899:H962" si="28">IF(FIND("Pa",G899,1),"PSI","-")</f>
        <v>#VALUE!</v>
      </c>
      <c r="I899" t="str">
        <f t="shared" ref="I899:I962" si="29">IF(G899="hPa",CONVERT(F899*100,"Pa","psi"), IF(G899="MPa",CONVERT(F899*1000000,"Pa","psi"),"-"))</f>
        <v>-</v>
      </c>
    </row>
    <row r="900" spans="1:9" x14ac:dyDescent="0.2">
      <c r="A900">
        <v>280061</v>
      </c>
      <c r="B900" t="s">
        <v>42</v>
      </c>
      <c r="C900" t="s">
        <v>8</v>
      </c>
      <c r="D900" t="s">
        <v>43</v>
      </c>
      <c r="E900">
        <v>10570</v>
      </c>
      <c r="F900">
        <v>5.28</v>
      </c>
      <c r="G900" t="s">
        <v>44</v>
      </c>
      <c r="H900" t="str">
        <f t="shared" si="28"/>
        <v>PSI</v>
      </c>
      <c r="I900">
        <f t="shared" si="29"/>
        <v>765.79925521550467</v>
      </c>
    </row>
    <row r="901" spans="1:9" x14ac:dyDescent="0.2">
      <c r="A901">
        <v>280243</v>
      </c>
      <c r="B901" t="s">
        <v>45</v>
      </c>
      <c r="C901" t="s">
        <v>8</v>
      </c>
      <c r="D901" t="s">
        <v>46</v>
      </c>
      <c r="E901">
        <v>1</v>
      </c>
      <c r="F901">
        <v>1</v>
      </c>
      <c r="G901" t="s">
        <v>15</v>
      </c>
      <c r="H901" t="str">
        <f t="shared" si="28"/>
        <v>PSI</v>
      </c>
      <c r="I901">
        <f t="shared" si="29"/>
        <v>1.4503773773020921E-2</v>
      </c>
    </row>
    <row r="902" spans="1:9" x14ac:dyDescent="0.2">
      <c r="A902">
        <v>280445</v>
      </c>
      <c r="B902" t="s">
        <v>47</v>
      </c>
      <c r="C902" t="s">
        <v>8</v>
      </c>
      <c r="D902" t="s">
        <v>48</v>
      </c>
      <c r="E902">
        <v>2464</v>
      </c>
      <c r="F902">
        <v>246.4</v>
      </c>
      <c r="G902" t="s">
        <v>49</v>
      </c>
      <c r="H902" t="e">
        <f t="shared" si="28"/>
        <v>#VALUE!</v>
      </c>
      <c r="I902" t="str">
        <f t="shared" si="29"/>
        <v>-</v>
      </c>
    </row>
    <row r="903" spans="1:9" x14ac:dyDescent="0.2">
      <c r="A903">
        <v>280657</v>
      </c>
      <c r="B903" t="s">
        <v>50</v>
      </c>
      <c r="C903" t="s">
        <v>8</v>
      </c>
      <c r="D903" t="s">
        <v>51</v>
      </c>
      <c r="E903">
        <v>24897</v>
      </c>
      <c r="F903">
        <v>972.54</v>
      </c>
      <c r="G903" t="s">
        <v>15</v>
      </c>
      <c r="H903" t="str">
        <f t="shared" si="28"/>
        <v>PSI</v>
      </c>
      <c r="I903">
        <f t="shared" si="29"/>
        <v>14.105500145213766</v>
      </c>
    </row>
    <row r="904" spans="1:9" x14ac:dyDescent="0.2">
      <c r="A904">
        <v>280850</v>
      </c>
      <c r="B904" t="s">
        <v>52</v>
      </c>
      <c r="C904" t="s">
        <v>8</v>
      </c>
      <c r="D904" t="s">
        <v>53</v>
      </c>
      <c r="E904">
        <v>95</v>
      </c>
      <c r="F904">
        <v>23.25</v>
      </c>
      <c r="G904" t="s">
        <v>10</v>
      </c>
      <c r="H904" t="e">
        <f t="shared" si="28"/>
        <v>#VALUE!</v>
      </c>
      <c r="I904" t="str">
        <f t="shared" si="29"/>
        <v>-</v>
      </c>
    </row>
    <row r="905" spans="1:9" x14ac:dyDescent="0.2">
      <c r="A905">
        <v>281033</v>
      </c>
      <c r="B905" t="s">
        <v>54</v>
      </c>
      <c r="C905" t="s">
        <v>8</v>
      </c>
      <c r="D905" t="s">
        <v>55</v>
      </c>
      <c r="E905">
        <v>6</v>
      </c>
      <c r="F905">
        <v>24</v>
      </c>
      <c r="G905" t="s">
        <v>56</v>
      </c>
      <c r="H905" t="e">
        <f t="shared" si="28"/>
        <v>#VALUE!</v>
      </c>
      <c r="I905" t="str">
        <f t="shared" si="29"/>
        <v>-</v>
      </c>
    </row>
    <row r="906" spans="1:9" x14ac:dyDescent="0.2">
      <c r="A906">
        <v>281415</v>
      </c>
      <c r="B906" t="s">
        <v>57</v>
      </c>
      <c r="C906" t="s">
        <v>8</v>
      </c>
      <c r="D906" t="s">
        <v>58</v>
      </c>
      <c r="E906" t="s">
        <v>18</v>
      </c>
      <c r="F906" t="s">
        <v>18</v>
      </c>
      <c r="G906" t="s">
        <v>18</v>
      </c>
      <c r="H906" t="e">
        <f t="shared" si="28"/>
        <v>#VALUE!</v>
      </c>
      <c r="I906" t="str">
        <f t="shared" si="29"/>
        <v>-</v>
      </c>
    </row>
    <row r="907" spans="1:9" x14ac:dyDescent="0.2">
      <c r="A907">
        <v>281797</v>
      </c>
      <c r="B907" t="s">
        <v>59</v>
      </c>
      <c r="C907" t="s">
        <v>8</v>
      </c>
      <c r="D907" t="s">
        <v>60</v>
      </c>
      <c r="E907" t="s">
        <v>18</v>
      </c>
      <c r="F907" t="s">
        <v>18</v>
      </c>
      <c r="G907" t="s">
        <v>18</v>
      </c>
      <c r="H907" t="e">
        <f t="shared" si="28"/>
        <v>#VALUE!</v>
      </c>
      <c r="I907" t="str">
        <f t="shared" si="29"/>
        <v>-</v>
      </c>
    </row>
    <row r="908" spans="1:9" x14ac:dyDescent="0.2">
      <c r="A908">
        <v>282179</v>
      </c>
      <c r="B908" t="s">
        <v>61</v>
      </c>
      <c r="C908" t="s">
        <v>8</v>
      </c>
      <c r="D908" t="s">
        <v>62</v>
      </c>
      <c r="E908" t="s">
        <v>18</v>
      </c>
      <c r="F908" t="s">
        <v>18</v>
      </c>
      <c r="G908" t="s">
        <v>18</v>
      </c>
      <c r="H908" t="e">
        <f t="shared" si="28"/>
        <v>#VALUE!</v>
      </c>
      <c r="I908" t="str">
        <f t="shared" si="29"/>
        <v>-</v>
      </c>
    </row>
    <row r="909" spans="1:9" x14ac:dyDescent="0.2">
      <c r="A909">
        <v>282561</v>
      </c>
      <c r="B909" t="s">
        <v>63</v>
      </c>
      <c r="C909" t="s">
        <v>8</v>
      </c>
      <c r="D909" t="s">
        <v>64</v>
      </c>
      <c r="E909" t="s">
        <v>18</v>
      </c>
      <c r="F909" t="s">
        <v>18</v>
      </c>
      <c r="G909" t="s">
        <v>18</v>
      </c>
      <c r="H909" t="e">
        <f t="shared" si="28"/>
        <v>#VALUE!</v>
      </c>
      <c r="I909" t="str">
        <f t="shared" si="29"/>
        <v>-</v>
      </c>
    </row>
    <row r="910" spans="1:9" x14ac:dyDescent="0.2">
      <c r="A910">
        <v>282823</v>
      </c>
      <c r="B910" t="s">
        <v>65</v>
      </c>
      <c r="C910" t="s">
        <v>8</v>
      </c>
      <c r="D910" t="s">
        <v>66</v>
      </c>
      <c r="E910">
        <v>27370</v>
      </c>
      <c r="F910">
        <v>3.34</v>
      </c>
      <c r="G910" t="s">
        <v>67</v>
      </c>
      <c r="H910" t="e">
        <f t="shared" si="28"/>
        <v>#VALUE!</v>
      </c>
      <c r="I910" t="str">
        <f t="shared" si="29"/>
        <v>-</v>
      </c>
    </row>
    <row r="911" spans="1:9" x14ac:dyDescent="0.2">
      <c r="A911">
        <v>283205</v>
      </c>
      <c r="B911" t="s">
        <v>68</v>
      </c>
      <c r="C911" t="s">
        <v>8</v>
      </c>
      <c r="D911" t="s">
        <v>69</v>
      </c>
      <c r="E911" t="s">
        <v>18</v>
      </c>
      <c r="F911" t="s">
        <v>18</v>
      </c>
      <c r="G911" t="s">
        <v>18</v>
      </c>
      <c r="H911" t="e">
        <f t="shared" si="28"/>
        <v>#VALUE!</v>
      </c>
      <c r="I911" t="str">
        <f t="shared" si="29"/>
        <v>-</v>
      </c>
    </row>
    <row r="912" spans="1:9" x14ac:dyDescent="0.2">
      <c r="A912">
        <v>283407</v>
      </c>
      <c r="B912" t="s">
        <v>7</v>
      </c>
      <c r="C912" t="s">
        <v>8</v>
      </c>
      <c r="D912" t="s">
        <v>9</v>
      </c>
      <c r="E912">
        <v>163</v>
      </c>
      <c r="F912">
        <v>103</v>
      </c>
      <c r="G912" t="s">
        <v>10</v>
      </c>
      <c r="H912" t="e">
        <f t="shared" si="28"/>
        <v>#VALUE!</v>
      </c>
      <c r="I912" t="str">
        <f t="shared" si="29"/>
        <v>-</v>
      </c>
    </row>
    <row r="913" spans="1:9" x14ac:dyDescent="0.2">
      <c r="A913">
        <v>283599</v>
      </c>
      <c r="B913" t="s">
        <v>11</v>
      </c>
      <c r="C913" t="s">
        <v>8</v>
      </c>
      <c r="D913" t="s">
        <v>12</v>
      </c>
      <c r="E913">
        <v>204</v>
      </c>
      <c r="F913">
        <v>105</v>
      </c>
      <c r="G913" t="s">
        <v>10</v>
      </c>
      <c r="H913" t="e">
        <f t="shared" si="28"/>
        <v>#VALUE!</v>
      </c>
      <c r="I913" t="str">
        <f t="shared" si="29"/>
        <v>-</v>
      </c>
    </row>
    <row r="914" spans="1:9" x14ac:dyDescent="0.2">
      <c r="A914">
        <v>283802</v>
      </c>
      <c r="B914" t="s">
        <v>13</v>
      </c>
      <c r="C914" t="s">
        <v>8</v>
      </c>
      <c r="D914" t="s">
        <v>14</v>
      </c>
      <c r="E914">
        <v>26092</v>
      </c>
      <c r="F914">
        <v>1019.22</v>
      </c>
      <c r="G914" t="s">
        <v>15</v>
      </c>
      <c r="H914" t="str">
        <f t="shared" si="28"/>
        <v>PSI</v>
      </c>
      <c r="I914">
        <f t="shared" si="29"/>
        <v>14.782536304938382</v>
      </c>
    </row>
    <row r="915" spans="1:9" x14ac:dyDescent="0.2">
      <c r="A915">
        <v>284184</v>
      </c>
      <c r="B915" t="s">
        <v>16</v>
      </c>
      <c r="C915" t="s">
        <v>8</v>
      </c>
      <c r="D915" t="s">
        <v>17</v>
      </c>
      <c r="E915" t="s">
        <v>18</v>
      </c>
      <c r="F915" t="s">
        <v>18</v>
      </c>
      <c r="G915" t="s">
        <v>18</v>
      </c>
      <c r="H915" t="e">
        <f t="shared" si="28"/>
        <v>#VALUE!</v>
      </c>
      <c r="I915" t="str">
        <f t="shared" si="29"/>
        <v>-</v>
      </c>
    </row>
    <row r="916" spans="1:9" x14ac:dyDescent="0.2">
      <c r="A916">
        <v>284396</v>
      </c>
      <c r="B916" t="s">
        <v>19</v>
      </c>
      <c r="C916" t="s">
        <v>8</v>
      </c>
      <c r="D916" t="s">
        <v>20</v>
      </c>
      <c r="E916">
        <v>13200</v>
      </c>
      <c r="F916">
        <v>1031.25</v>
      </c>
      <c r="G916" t="s">
        <v>15</v>
      </c>
      <c r="H916" t="str">
        <f t="shared" si="28"/>
        <v>PSI</v>
      </c>
      <c r="I916">
        <f t="shared" si="29"/>
        <v>14.957016703427824</v>
      </c>
    </row>
    <row r="917" spans="1:9" x14ac:dyDescent="0.2">
      <c r="A917">
        <v>284609</v>
      </c>
      <c r="B917" t="s">
        <v>21</v>
      </c>
      <c r="C917" t="s">
        <v>8</v>
      </c>
      <c r="D917" t="s">
        <v>22</v>
      </c>
      <c r="E917">
        <v>7615</v>
      </c>
      <c r="F917">
        <v>1903.75</v>
      </c>
      <c r="G917" t="s">
        <v>23</v>
      </c>
      <c r="H917" t="e">
        <f t="shared" si="28"/>
        <v>#VALUE!</v>
      </c>
      <c r="I917" t="str">
        <f t="shared" si="29"/>
        <v>-</v>
      </c>
    </row>
    <row r="918" spans="1:9" x14ac:dyDescent="0.2">
      <c r="A918">
        <v>284801</v>
      </c>
      <c r="B918" t="s">
        <v>24</v>
      </c>
      <c r="C918" t="s">
        <v>8</v>
      </c>
      <c r="D918" t="s">
        <v>25</v>
      </c>
      <c r="E918">
        <v>4</v>
      </c>
      <c r="F918">
        <v>4</v>
      </c>
      <c r="G918" t="s">
        <v>26</v>
      </c>
      <c r="H918" t="e">
        <f t="shared" si="28"/>
        <v>#VALUE!</v>
      </c>
      <c r="I918" t="str">
        <f t="shared" si="29"/>
        <v>-</v>
      </c>
    </row>
    <row r="919" spans="1:9" x14ac:dyDescent="0.2">
      <c r="A919">
        <v>285013</v>
      </c>
      <c r="B919" t="s">
        <v>27</v>
      </c>
      <c r="C919" t="s">
        <v>8</v>
      </c>
      <c r="D919" t="s">
        <v>28</v>
      </c>
      <c r="E919">
        <v>602</v>
      </c>
      <c r="F919">
        <v>14.14</v>
      </c>
      <c r="G919" t="s">
        <v>29</v>
      </c>
      <c r="H919" t="e">
        <f t="shared" si="28"/>
        <v>#VALUE!</v>
      </c>
      <c r="I919" t="str">
        <f t="shared" si="29"/>
        <v>-</v>
      </c>
    </row>
    <row r="920" spans="1:9" x14ac:dyDescent="0.2">
      <c r="A920">
        <v>285225</v>
      </c>
      <c r="B920" t="s">
        <v>30</v>
      </c>
      <c r="C920" t="s">
        <v>8</v>
      </c>
      <c r="D920" t="s">
        <v>31</v>
      </c>
      <c r="E920">
        <v>3086</v>
      </c>
      <c r="F920">
        <v>3086</v>
      </c>
      <c r="G920" t="s">
        <v>15</v>
      </c>
      <c r="H920" t="str">
        <f t="shared" si="28"/>
        <v>PSI</v>
      </c>
      <c r="I920">
        <f t="shared" si="29"/>
        <v>44.758645863542561</v>
      </c>
    </row>
    <row r="921" spans="1:9" x14ac:dyDescent="0.2">
      <c r="A921">
        <v>285437</v>
      </c>
      <c r="B921" t="s">
        <v>32</v>
      </c>
      <c r="C921" t="s">
        <v>8</v>
      </c>
      <c r="D921" t="s">
        <v>33</v>
      </c>
      <c r="E921">
        <v>5525</v>
      </c>
      <c r="F921">
        <v>1.35</v>
      </c>
      <c r="G921" t="s">
        <v>26</v>
      </c>
      <c r="H921" t="e">
        <f t="shared" si="28"/>
        <v>#VALUE!</v>
      </c>
      <c r="I921" t="str">
        <f t="shared" si="29"/>
        <v>-</v>
      </c>
    </row>
    <row r="922" spans="1:9" x14ac:dyDescent="0.2">
      <c r="A922">
        <v>285649</v>
      </c>
      <c r="B922" t="s">
        <v>34</v>
      </c>
      <c r="C922" t="s">
        <v>8</v>
      </c>
      <c r="D922" t="s">
        <v>35</v>
      </c>
      <c r="E922">
        <v>11938</v>
      </c>
      <c r="F922">
        <v>2.91</v>
      </c>
      <c r="G922" t="s">
        <v>26</v>
      </c>
      <c r="H922" t="e">
        <f t="shared" si="28"/>
        <v>#VALUE!</v>
      </c>
      <c r="I922" t="str">
        <f t="shared" si="29"/>
        <v>-</v>
      </c>
    </row>
    <row r="923" spans="1:9" x14ac:dyDescent="0.2">
      <c r="A923">
        <v>286031</v>
      </c>
      <c r="B923" t="s">
        <v>36</v>
      </c>
      <c r="C923" t="s">
        <v>8</v>
      </c>
      <c r="D923" t="s">
        <v>37</v>
      </c>
      <c r="E923" t="s">
        <v>18</v>
      </c>
      <c r="F923" t="s">
        <v>18</v>
      </c>
      <c r="G923" t="s">
        <v>18</v>
      </c>
      <c r="H923" t="e">
        <f t="shared" si="28"/>
        <v>#VALUE!</v>
      </c>
      <c r="I923" t="str">
        <f t="shared" si="29"/>
        <v>-</v>
      </c>
    </row>
    <row r="924" spans="1:9" x14ac:dyDescent="0.2">
      <c r="A924">
        <v>286413</v>
      </c>
      <c r="B924" t="s">
        <v>38</v>
      </c>
      <c r="C924" t="s">
        <v>8</v>
      </c>
      <c r="D924" t="s">
        <v>39</v>
      </c>
      <c r="E924" t="s">
        <v>18</v>
      </c>
      <c r="F924" t="s">
        <v>18</v>
      </c>
      <c r="G924" t="s">
        <v>18</v>
      </c>
      <c r="H924" t="e">
        <f t="shared" si="28"/>
        <v>#VALUE!</v>
      </c>
      <c r="I924" t="str">
        <f t="shared" si="29"/>
        <v>-</v>
      </c>
    </row>
    <row r="925" spans="1:9" x14ac:dyDescent="0.2">
      <c r="A925">
        <v>286795</v>
      </c>
      <c r="B925" t="s">
        <v>40</v>
      </c>
      <c r="C925" t="s">
        <v>8</v>
      </c>
      <c r="D925" t="s">
        <v>41</v>
      </c>
      <c r="E925" t="s">
        <v>18</v>
      </c>
      <c r="F925" t="s">
        <v>18</v>
      </c>
      <c r="G925" t="s">
        <v>18</v>
      </c>
      <c r="H925" t="e">
        <f t="shared" si="28"/>
        <v>#VALUE!</v>
      </c>
      <c r="I925" t="str">
        <f t="shared" si="29"/>
        <v>-</v>
      </c>
    </row>
    <row r="926" spans="1:9" x14ac:dyDescent="0.2">
      <c r="A926">
        <v>287007</v>
      </c>
      <c r="B926" t="s">
        <v>42</v>
      </c>
      <c r="C926" t="s">
        <v>8</v>
      </c>
      <c r="D926" t="s">
        <v>43</v>
      </c>
      <c r="E926">
        <v>10082</v>
      </c>
      <c r="F926">
        <v>5.04</v>
      </c>
      <c r="G926" t="s">
        <v>44</v>
      </c>
      <c r="H926" t="str">
        <f t="shared" si="28"/>
        <v>PSI</v>
      </c>
      <c r="I926">
        <f t="shared" si="29"/>
        <v>730.99019816025441</v>
      </c>
    </row>
    <row r="927" spans="1:9" x14ac:dyDescent="0.2">
      <c r="A927">
        <v>287199</v>
      </c>
      <c r="B927" t="s">
        <v>45</v>
      </c>
      <c r="C927" t="s">
        <v>8</v>
      </c>
      <c r="D927" t="s">
        <v>46</v>
      </c>
      <c r="E927">
        <v>5</v>
      </c>
      <c r="F927">
        <v>5</v>
      </c>
      <c r="G927" t="s">
        <v>15</v>
      </c>
      <c r="H927" t="str">
        <f t="shared" si="28"/>
        <v>PSI</v>
      </c>
      <c r="I927">
        <f t="shared" si="29"/>
        <v>7.2518868865104599E-2</v>
      </c>
    </row>
    <row r="928" spans="1:9" x14ac:dyDescent="0.2">
      <c r="A928">
        <v>287411</v>
      </c>
      <c r="B928" t="s">
        <v>47</v>
      </c>
      <c r="C928" t="s">
        <v>8</v>
      </c>
      <c r="D928" t="s">
        <v>48</v>
      </c>
      <c r="E928">
        <v>2533</v>
      </c>
      <c r="F928">
        <v>253.3</v>
      </c>
      <c r="G928" t="s">
        <v>49</v>
      </c>
      <c r="H928" t="e">
        <f t="shared" si="28"/>
        <v>#VALUE!</v>
      </c>
      <c r="I928" t="str">
        <f t="shared" si="29"/>
        <v>-</v>
      </c>
    </row>
    <row r="929" spans="1:9" x14ac:dyDescent="0.2">
      <c r="A929">
        <v>287623</v>
      </c>
      <c r="B929" t="s">
        <v>50</v>
      </c>
      <c r="C929" t="s">
        <v>8</v>
      </c>
      <c r="D929" t="s">
        <v>51</v>
      </c>
      <c r="E929">
        <v>24714</v>
      </c>
      <c r="F929">
        <v>965.39</v>
      </c>
      <c r="G929" t="s">
        <v>15</v>
      </c>
      <c r="H929" t="str">
        <f t="shared" si="28"/>
        <v>PSI</v>
      </c>
      <c r="I929">
        <f t="shared" si="29"/>
        <v>14.001798162736666</v>
      </c>
    </row>
    <row r="930" spans="1:9" x14ac:dyDescent="0.2">
      <c r="A930">
        <v>287805</v>
      </c>
      <c r="B930" t="s">
        <v>52</v>
      </c>
      <c r="C930" t="s">
        <v>8</v>
      </c>
      <c r="D930" t="s">
        <v>53</v>
      </c>
      <c r="E930">
        <v>95</v>
      </c>
      <c r="F930">
        <v>23.25</v>
      </c>
      <c r="G930" t="s">
        <v>10</v>
      </c>
      <c r="H930" t="e">
        <f t="shared" si="28"/>
        <v>#VALUE!</v>
      </c>
      <c r="I930" t="str">
        <f t="shared" si="29"/>
        <v>-</v>
      </c>
    </row>
    <row r="931" spans="1:9" x14ac:dyDescent="0.2">
      <c r="A931">
        <v>287997</v>
      </c>
      <c r="B931" t="s">
        <v>54</v>
      </c>
      <c r="C931" t="s">
        <v>8</v>
      </c>
      <c r="D931" t="s">
        <v>55</v>
      </c>
      <c r="E931">
        <v>3</v>
      </c>
      <c r="F931">
        <v>12</v>
      </c>
      <c r="G931" t="s">
        <v>56</v>
      </c>
      <c r="H931" t="e">
        <f t="shared" si="28"/>
        <v>#VALUE!</v>
      </c>
      <c r="I931" t="str">
        <f t="shared" si="29"/>
        <v>-</v>
      </c>
    </row>
    <row r="932" spans="1:9" x14ac:dyDescent="0.2">
      <c r="A932">
        <v>288379</v>
      </c>
      <c r="B932" t="s">
        <v>57</v>
      </c>
      <c r="C932" t="s">
        <v>8</v>
      </c>
      <c r="D932" t="s">
        <v>58</v>
      </c>
      <c r="E932" t="s">
        <v>18</v>
      </c>
      <c r="F932" t="s">
        <v>18</v>
      </c>
      <c r="G932" t="s">
        <v>18</v>
      </c>
      <c r="H932" t="e">
        <f t="shared" si="28"/>
        <v>#VALUE!</v>
      </c>
      <c r="I932" t="str">
        <f t="shared" si="29"/>
        <v>-</v>
      </c>
    </row>
    <row r="933" spans="1:9" x14ac:dyDescent="0.2">
      <c r="A933">
        <v>288751</v>
      </c>
      <c r="B933" t="s">
        <v>59</v>
      </c>
      <c r="C933" t="s">
        <v>8</v>
      </c>
      <c r="D933" t="s">
        <v>60</v>
      </c>
      <c r="E933" t="s">
        <v>18</v>
      </c>
      <c r="F933" t="s">
        <v>18</v>
      </c>
      <c r="G933" t="s">
        <v>18</v>
      </c>
      <c r="H933" t="e">
        <f t="shared" si="28"/>
        <v>#VALUE!</v>
      </c>
      <c r="I933" t="str">
        <f t="shared" si="29"/>
        <v>-</v>
      </c>
    </row>
    <row r="934" spans="1:9" x14ac:dyDescent="0.2">
      <c r="A934">
        <v>289133</v>
      </c>
      <c r="B934" t="s">
        <v>61</v>
      </c>
      <c r="C934" t="s">
        <v>8</v>
      </c>
      <c r="D934" t="s">
        <v>62</v>
      </c>
      <c r="E934" t="s">
        <v>18</v>
      </c>
      <c r="F934" t="s">
        <v>18</v>
      </c>
      <c r="G934" t="s">
        <v>18</v>
      </c>
      <c r="H934" t="e">
        <f t="shared" si="28"/>
        <v>#VALUE!</v>
      </c>
      <c r="I934" t="str">
        <f t="shared" si="29"/>
        <v>-</v>
      </c>
    </row>
    <row r="935" spans="1:9" x14ac:dyDescent="0.2">
      <c r="A935">
        <v>289515</v>
      </c>
      <c r="B935" t="s">
        <v>63</v>
      </c>
      <c r="C935" t="s">
        <v>8</v>
      </c>
      <c r="D935" t="s">
        <v>64</v>
      </c>
      <c r="E935" t="s">
        <v>18</v>
      </c>
      <c r="F935" t="s">
        <v>18</v>
      </c>
      <c r="G935" t="s">
        <v>18</v>
      </c>
      <c r="H935" t="e">
        <f t="shared" si="28"/>
        <v>#VALUE!</v>
      </c>
      <c r="I935" t="str">
        <f t="shared" si="29"/>
        <v>-</v>
      </c>
    </row>
    <row r="936" spans="1:9" x14ac:dyDescent="0.2">
      <c r="A936">
        <v>289767</v>
      </c>
      <c r="B936" t="s">
        <v>65</v>
      </c>
      <c r="C936" t="s">
        <v>8</v>
      </c>
      <c r="D936" t="s">
        <v>66</v>
      </c>
      <c r="E936">
        <v>27379</v>
      </c>
      <c r="F936">
        <v>3.34</v>
      </c>
      <c r="G936" t="s">
        <v>67</v>
      </c>
      <c r="H936" t="e">
        <f t="shared" si="28"/>
        <v>#VALUE!</v>
      </c>
      <c r="I936" t="str">
        <f t="shared" si="29"/>
        <v>-</v>
      </c>
    </row>
    <row r="937" spans="1:9" x14ac:dyDescent="0.2">
      <c r="A937">
        <v>290149</v>
      </c>
      <c r="B937" t="s">
        <v>68</v>
      </c>
      <c r="C937" t="s">
        <v>8</v>
      </c>
      <c r="D937" t="s">
        <v>69</v>
      </c>
      <c r="E937" t="s">
        <v>18</v>
      </c>
      <c r="F937" t="s">
        <v>18</v>
      </c>
      <c r="G937" t="s">
        <v>18</v>
      </c>
      <c r="H937" t="e">
        <f t="shared" si="28"/>
        <v>#VALUE!</v>
      </c>
      <c r="I937" t="str">
        <f t="shared" si="29"/>
        <v>-</v>
      </c>
    </row>
    <row r="938" spans="1:9" x14ac:dyDescent="0.2">
      <c r="A938">
        <v>290351</v>
      </c>
      <c r="B938" t="s">
        <v>7</v>
      </c>
      <c r="C938" t="s">
        <v>8</v>
      </c>
      <c r="D938" t="s">
        <v>9</v>
      </c>
      <c r="E938">
        <v>163</v>
      </c>
      <c r="F938">
        <v>103</v>
      </c>
      <c r="G938" t="s">
        <v>10</v>
      </c>
      <c r="H938" t="e">
        <f t="shared" si="28"/>
        <v>#VALUE!</v>
      </c>
      <c r="I938" t="str">
        <f t="shared" si="29"/>
        <v>-</v>
      </c>
    </row>
    <row r="939" spans="1:9" x14ac:dyDescent="0.2">
      <c r="A939">
        <v>290533</v>
      </c>
      <c r="B939" t="s">
        <v>11</v>
      </c>
      <c r="C939" t="s">
        <v>8</v>
      </c>
      <c r="D939" t="s">
        <v>12</v>
      </c>
      <c r="E939">
        <v>204</v>
      </c>
      <c r="F939">
        <v>105</v>
      </c>
      <c r="G939" t="s">
        <v>10</v>
      </c>
      <c r="H939" t="e">
        <f t="shared" si="28"/>
        <v>#VALUE!</v>
      </c>
      <c r="I939" t="str">
        <f t="shared" si="29"/>
        <v>-</v>
      </c>
    </row>
    <row r="940" spans="1:9" x14ac:dyDescent="0.2">
      <c r="A940">
        <v>290735</v>
      </c>
      <c r="B940" t="s">
        <v>13</v>
      </c>
      <c r="C940" t="s">
        <v>8</v>
      </c>
      <c r="D940" t="s">
        <v>14</v>
      </c>
      <c r="E940">
        <v>26092</v>
      </c>
      <c r="F940">
        <v>1019.22</v>
      </c>
      <c r="G940" t="s">
        <v>15</v>
      </c>
      <c r="H940" t="str">
        <f t="shared" si="28"/>
        <v>PSI</v>
      </c>
      <c r="I940">
        <f t="shared" si="29"/>
        <v>14.782536304938382</v>
      </c>
    </row>
    <row r="941" spans="1:9" x14ac:dyDescent="0.2">
      <c r="A941">
        <v>291117</v>
      </c>
      <c r="B941" t="s">
        <v>16</v>
      </c>
      <c r="C941" t="s">
        <v>8</v>
      </c>
      <c r="D941" t="s">
        <v>17</v>
      </c>
      <c r="E941" t="s">
        <v>18</v>
      </c>
      <c r="F941" t="s">
        <v>18</v>
      </c>
      <c r="G941" t="s">
        <v>18</v>
      </c>
      <c r="H941" t="e">
        <f t="shared" si="28"/>
        <v>#VALUE!</v>
      </c>
      <c r="I941" t="str">
        <f t="shared" si="29"/>
        <v>-</v>
      </c>
    </row>
    <row r="942" spans="1:9" x14ac:dyDescent="0.2">
      <c r="A942">
        <v>291329</v>
      </c>
      <c r="B942" t="s">
        <v>19</v>
      </c>
      <c r="C942" t="s">
        <v>8</v>
      </c>
      <c r="D942" t="s">
        <v>20</v>
      </c>
      <c r="E942">
        <v>52</v>
      </c>
      <c r="F942">
        <v>4.0599999999999996</v>
      </c>
      <c r="G942" t="s">
        <v>15</v>
      </c>
      <c r="H942" t="str">
        <f t="shared" si="28"/>
        <v>PSI</v>
      </c>
      <c r="I942">
        <f t="shared" si="29"/>
        <v>5.8885321518464928E-2</v>
      </c>
    </row>
    <row r="943" spans="1:9" x14ac:dyDescent="0.2">
      <c r="A943">
        <v>291541</v>
      </c>
      <c r="B943" t="s">
        <v>21</v>
      </c>
      <c r="C943" t="s">
        <v>8</v>
      </c>
      <c r="D943" t="s">
        <v>22</v>
      </c>
      <c r="E943">
        <v>3599</v>
      </c>
      <c r="F943">
        <v>899.75</v>
      </c>
      <c r="G943" t="s">
        <v>23</v>
      </c>
      <c r="H943" t="e">
        <f t="shared" si="28"/>
        <v>#VALUE!</v>
      </c>
      <c r="I943" t="str">
        <f t="shared" si="29"/>
        <v>-</v>
      </c>
    </row>
    <row r="944" spans="1:9" x14ac:dyDescent="0.2">
      <c r="A944">
        <v>291743</v>
      </c>
      <c r="B944" t="s">
        <v>24</v>
      </c>
      <c r="C944" t="s">
        <v>8</v>
      </c>
      <c r="D944" t="s">
        <v>25</v>
      </c>
      <c r="E944">
        <v>2</v>
      </c>
      <c r="F944">
        <v>2</v>
      </c>
      <c r="G944" t="s">
        <v>26</v>
      </c>
      <c r="H944" t="e">
        <f t="shared" si="28"/>
        <v>#VALUE!</v>
      </c>
      <c r="I944" t="str">
        <f t="shared" si="29"/>
        <v>-</v>
      </c>
    </row>
    <row r="945" spans="1:9" x14ac:dyDescent="0.2">
      <c r="A945">
        <v>291965</v>
      </c>
      <c r="B945" t="s">
        <v>27</v>
      </c>
      <c r="C945" t="s">
        <v>8</v>
      </c>
      <c r="D945" t="s">
        <v>28</v>
      </c>
      <c r="E945">
        <v>600</v>
      </c>
      <c r="F945">
        <v>14.09</v>
      </c>
      <c r="G945" t="s">
        <v>29</v>
      </c>
      <c r="H945" t="e">
        <f t="shared" si="28"/>
        <v>#VALUE!</v>
      </c>
      <c r="I945" t="str">
        <f t="shared" si="29"/>
        <v>-</v>
      </c>
    </row>
    <row r="946" spans="1:9" x14ac:dyDescent="0.2">
      <c r="A946">
        <v>292177</v>
      </c>
      <c r="B946" t="s">
        <v>30</v>
      </c>
      <c r="C946" t="s">
        <v>8</v>
      </c>
      <c r="D946" t="s">
        <v>31</v>
      </c>
      <c r="E946">
        <v>2605</v>
      </c>
      <c r="F946">
        <v>2605</v>
      </c>
      <c r="G946" t="s">
        <v>15</v>
      </c>
      <c r="H946" t="str">
        <f t="shared" si="28"/>
        <v>PSI</v>
      </c>
      <c r="I946">
        <f t="shared" si="29"/>
        <v>37.782330678719497</v>
      </c>
    </row>
    <row r="947" spans="1:9" x14ac:dyDescent="0.2">
      <c r="A947">
        <v>292379</v>
      </c>
      <c r="B947" t="s">
        <v>32</v>
      </c>
      <c r="C947" t="s">
        <v>8</v>
      </c>
      <c r="D947" t="s">
        <v>33</v>
      </c>
      <c r="E947">
        <v>3767</v>
      </c>
      <c r="F947">
        <v>0.92</v>
      </c>
      <c r="G947" t="s">
        <v>26</v>
      </c>
      <c r="H947" t="e">
        <f t="shared" si="28"/>
        <v>#VALUE!</v>
      </c>
      <c r="I947" t="str">
        <f t="shared" si="29"/>
        <v>-</v>
      </c>
    </row>
    <row r="948" spans="1:9" x14ac:dyDescent="0.2">
      <c r="A948">
        <v>292591</v>
      </c>
      <c r="B948" t="s">
        <v>34</v>
      </c>
      <c r="C948" t="s">
        <v>8</v>
      </c>
      <c r="D948" t="s">
        <v>35</v>
      </c>
      <c r="E948">
        <v>3853</v>
      </c>
      <c r="F948">
        <v>0.94</v>
      </c>
      <c r="G948" t="s">
        <v>26</v>
      </c>
      <c r="H948" t="e">
        <f t="shared" si="28"/>
        <v>#VALUE!</v>
      </c>
      <c r="I948" t="str">
        <f t="shared" si="29"/>
        <v>-</v>
      </c>
    </row>
    <row r="949" spans="1:9" x14ac:dyDescent="0.2">
      <c r="A949">
        <v>292973</v>
      </c>
      <c r="B949" t="s">
        <v>36</v>
      </c>
      <c r="C949" t="s">
        <v>8</v>
      </c>
      <c r="D949" t="s">
        <v>37</v>
      </c>
      <c r="E949" t="s">
        <v>18</v>
      </c>
      <c r="F949" t="s">
        <v>18</v>
      </c>
      <c r="G949" t="s">
        <v>18</v>
      </c>
      <c r="H949" t="e">
        <f t="shared" si="28"/>
        <v>#VALUE!</v>
      </c>
      <c r="I949" t="str">
        <f t="shared" si="29"/>
        <v>-</v>
      </c>
    </row>
    <row r="950" spans="1:9" x14ac:dyDescent="0.2">
      <c r="A950">
        <v>293355</v>
      </c>
      <c r="B950" t="s">
        <v>38</v>
      </c>
      <c r="C950" t="s">
        <v>8</v>
      </c>
      <c r="D950" t="s">
        <v>39</v>
      </c>
      <c r="E950" t="s">
        <v>18</v>
      </c>
      <c r="F950" t="s">
        <v>18</v>
      </c>
      <c r="G950" t="s">
        <v>18</v>
      </c>
      <c r="H950" t="e">
        <f t="shared" si="28"/>
        <v>#VALUE!</v>
      </c>
      <c r="I950" t="str">
        <f t="shared" si="29"/>
        <v>-</v>
      </c>
    </row>
    <row r="951" spans="1:9" x14ac:dyDescent="0.2">
      <c r="A951">
        <v>293737</v>
      </c>
      <c r="B951" t="s">
        <v>40</v>
      </c>
      <c r="C951" t="s">
        <v>8</v>
      </c>
      <c r="D951" t="s">
        <v>41</v>
      </c>
      <c r="E951" t="s">
        <v>18</v>
      </c>
      <c r="F951" t="s">
        <v>18</v>
      </c>
      <c r="G951" t="s">
        <v>18</v>
      </c>
      <c r="H951" t="e">
        <f t="shared" si="28"/>
        <v>#VALUE!</v>
      </c>
      <c r="I951" t="str">
        <f t="shared" si="29"/>
        <v>-</v>
      </c>
    </row>
    <row r="952" spans="1:9" x14ac:dyDescent="0.2">
      <c r="A952">
        <v>293949</v>
      </c>
      <c r="B952" t="s">
        <v>42</v>
      </c>
      <c r="C952" t="s">
        <v>8</v>
      </c>
      <c r="D952" t="s">
        <v>43</v>
      </c>
      <c r="E952">
        <v>14148</v>
      </c>
      <c r="F952">
        <v>7.07</v>
      </c>
      <c r="G952" t="s">
        <v>44</v>
      </c>
      <c r="H952" t="str">
        <f t="shared" si="28"/>
        <v>PSI</v>
      </c>
      <c r="I952">
        <f t="shared" si="29"/>
        <v>1025.4168057525792</v>
      </c>
    </row>
    <row r="953" spans="1:9" x14ac:dyDescent="0.2">
      <c r="A953">
        <v>294141</v>
      </c>
      <c r="B953" t="s">
        <v>45</v>
      </c>
      <c r="C953" t="s">
        <v>8</v>
      </c>
      <c r="D953" t="s">
        <v>46</v>
      </c>
      <c r="E953">
        <v>1</v>
      </c>
      <c r="F953">
        <v>1</v>
      </c>
      <c r="G953" t="s">
        <v>15</v>
      </c>
      <c r="H953" t="str">
        <f t="shared" si="28"/>
        <v>PSI</v>
      </c>
      <c r="I953">
        <f t="shared" si="29"/>
        <v>1.4503773773020921E-2</v>
      </c>
    </row>
    <row r="954" spans="1:9" x14ac:dyDescent="0.2">
      <c r="A954">
        <v>294353</v>
      </c>
      <c r="B954" t="s">
        <v>47</v>
      </c>
      <c r="C954" t="s">
        <v>8</v>
      </c>
      <c r="D954" t="s">
        <v>48</v>
      </c>
      <c r="E954">
        <v>2603</v>
      </c>
      <c r="F954">
        <v>260.3</v>
      </c>
      <c r="G954" t="s">
        <v>49</v>
      </c>
      <c r="H954" t="e">
        <f t="shared" si="28"/>
        <v>#VALUE!</v>
      </c>
      <c r="I954" t="str">
        <f t="shared" si="29"/>
        <v>-</v>
      </c>
    </row>
    <row r="955" spans="1:9" x14ac:dyDescent="0.2">
      <c r="A955">
        <v>294556</v>
      </c>
      <c r="B955" t="s">
        <v>50</v>
      </c>
      <c r="C955" t="s">
        <v>8</v>
      </c>
      <c r="D955" t="s">
        <v>51</v>
      </c>
      <c r="E955">
        <v>24634</v>
      </c>
      <c r="F955">
        <v>962.27</v>
      </c>
      <c r="G955" t="s">
        <v>15</v>
      </c>
      <c r="H955" t="str">
        <f t="shared" si="28"/>
        <v>PSI</v>
      </c>
      <c r="I955">
        <f t="shared" si="29"/>
        <v>13.956546388564842</v>
      </c>
    </row>
    <row r="956" spans="1:9" x14ac:dyDescent="0.2">
      <c r="A956">
        <v>294749</v>
      </c>
      <c r="B956" t="s">
        <v>52</v>
      </c>
      <c r="C956" t="s">
        <v>8</v>
      </c>
      <c r="D956" t="s">
        <v>53</v>
      </c>
      <c r="E956">
        <v>96</v>
      </c>
      <c r="F956">
        <v>24</v>
      </c>
      <c r="G956" t="s">
        <v>10</v>
      </c>
      <c r="H956" t="e">
        <f t="shared" si="28"/>
        <v>#VALUE!</v>
      </c>
      <c r="I956" t="str">
        <f t="shared" si="29"/>
        <v>-</v>
      </c>
    </row>
    <row r="957" spans="1:9" x14ac:dyDescent="0.2">
      <c r="A957">
        <v>294941</v>
      </c>
      <c r="B957" t="s">
        <v>54</v>
      </c>
      <c r="C957" t="s">
        <v>8</v>
      </c>
      <c r="D957" t="s">
        <v>55</v>
      </c>
      <c r="E957">
        <v>3</v>
      </c>
      <c r="F957">
        <v>12</v>
      </c>
      <c r="G957" t="s">
        <v>56</v>
      </c>
      <c r="H957" t="e">
        <f t="shared" si="28"/>
        <v>#VALUE!</v>
      </c>
      <c r="I957" t="str">
        <f t="shared" si="29"/>
        <v>-</v>
      </c>
    </row>
    <row r="958" spans="1:9" x14ac:dyDescent="0.2">
      <c r="A958">
        <v>295313</v>
      </c>
      <c r="B958" t="s">
        <v>57</v>
      </c>
      <c r="C958" t="s">
        <v>8</v>
      </c>
      <c r="D958" t="s">
        <v>58</v>
      </c>
      <c r="E958" t="s">
        <v>18</v>
      </c>
      <c r="F958" t="s">
        <v>18</v>
      </c>
      <c r="G958" t="s">
        <v>18</v>
      </c>
      <c r="H958" t="e">
        <f t="shared" si="28"/>
        <v>#VALUE!</v>
      </c>
      <c r="I958" t="str">
        <f t="shared" si="29"/>
        <v>-</v>
      </c>
    </row>
    <row r="959" spans="1:9" x14ac:dyDescent="0.2">
      <c r="A959">
        <v>295705</v>
      </c>
      <c r="B959" t="s">
        <v>59</v>
      </c>
      <c r="C959" t="s">
        <v>8</v>
      </c>
      <c r="D959" t="s">
        <v>60</v>
      </c>
      <c r="E959" t="s">
        <v>18</v>
      </c>
      <c r="F959" t="s">
        <v>18</v>
      </c>
      <c r="G959" t="s">
        <v>18</v>
      </c>
      <c r="H959" t="e">
        <f t="shared" si="28"/>
        <v>#VALUE!</v>
      </c>
      <c r="I959" t="str">
        <f t="shared" si="29"/>
        <v>-</v>
      </c>
    </row>
    <row r="960" spans="1:9" x14ac:dyDescent="0.2">
      <c r="A960">
        <v>296087</v>
      </c>
      <c r="B960" t="s">
        <v>61</v>
      </c>
      <c r="C960" t="s">
        <v>8</v>
      </c>
      <c r="D960" t="s">
        <v>62</v>
      </c>
      <c r="E960" t="s">
        <v>18</v>
      </c>
      <c r="F960" t="s">
        <v>18</v>
      </c>
      <c r="G960" t="s">
        <v>18</v>
      </c>
      <c r="H960" t="e">
        <f t="shared" si="28"/>
        <v>#VALUE!</v>
      </c>
      <c r="I960" t="str">
        <f t="shared" si="29"/>
        <v>-</v>
      </c>
    </row>
    <row r="961" spans="1:9" x14ac:dyDescent="0.2">
      <c r="A961">
        <v>296469</v>
      </c>
      <c r="B961" t="s">
        <v>63</v>
      </c>
      <c r="C961" t="s">
        <v>8</v>
      </c>
      <c r="D961" t="s">
        <v>64</v>
      </c>
      <c r="E961" t="s">
        <v>18</v>
      </c>
      <c r="F961" t="s">
        <v>18</v>
      </c>
      <c r="G961" t="s">
        <v>18</v>
      </c>
      <c r="H961" t="e">
        <f t="shared" si="28"/>
        <v>#VALUE!</v>
      </c>
      <c r="I961" t="str">
        <f t="shared" si="29"/>
        <v>-</v>
      </c>
    </row>
    <row r="962" spans="1:9" x14ac:dyDescent="0.2">
      <c r="A962">
        <v>296721</v>
      </c>
      <c r="B962" t="s">
        <v>65</v>
      </c>
      <c r="C962" t="s">
        <v>8</v>
      </c>
      <c r="D962" t="s">
        <v>66</v>
      </c>
      <c r="E962">
        <v>27404</v>
      </c>
      <c r="F962">
        <v>3.35</v>
      </c>
      <c r="G962" t="s">
        <v>67</v>
      </c>
      <c r="H962" t="e">
        <f t="shared" si="28"/>
        <v>#VALUE!</v>
      </c>
      <c r="I962" t="str">
        <f t="shared" si="29"/>
        <v>-</v>
      </c>
    </row>
    <row r="963" spans="1:9" x14ac:dyDescent="0.2">
      <c r="A963">
        <v>297093</v>
      </c>
      <c r="B963" t="s">
        <v>68</v>
      </c>
      <c r="C963" t="s">
        <v>8</v>
      </c>
      <c r="D963" t="s">
        <v>69</v>
      </c>
      <c r="E963" t="s">
        <v>18</v>
      </c>
      <c r="F963" t="s">
        <v>18</v>
      </c>
      <c r="G963" t="s">
        <v>18</v>
      </c>
      <c r="H963" t="e">
        <f t="shared" ref="H963:H1026" si="30">IF(FIND("Pa",G963,1),"PSI","-")</f>
        <v>#VALUE!</v>
      </c>
      <c r="I963" t="str">
        <f t="shared" ref="I963:I1026" si="31">IF(G963="hPa",CONVERT(F963*100,"Pa","psi"), IF(G963="MPa",CONVERT(F963*1000000,"Pa","psi"),"-"))</f>
        <v>-</v>
      </c>
    </row>
    <row r="964" spans="1:9" x14ac:dyDescent="0.2">
      <c r="A964">
        <v>297285</v>
      </c>
      <c r="B964" t="s">
        <v>7</v>
      </c>
      <c r="C964" t="s">
        <v>8</v>
      </c>
      <c r="D964" t="s">
        <v>9</v>
      </c>
      <c r="E964">
        <v>163</v>
      </c>
      <c r="F964">
        <v>103</v>
      </c>
      <c r="G964" t="s">
        <v>10</v>
      </c>
      <c r="H964" t="e">
        <f t="shared" si="30"/>
        <v>#VALUE!</v>
      </c>
      <c r="I964" t="str">
        <f t="shared" si="31"/>
        <v>-</v>
      </c>
    </row>
    <row r="965" spans="1:9" x14ac:dyDescent="0.2">
      <c r="A965">
        <v>297477</v>
      </c>
      <c r="B965" t="s">
        <v>11</v>
      </c>
      <c r="C965" t="s">
        <v>8</v>
      </c>
      <c r="D965" t="s">
        <v>12</v>
      </c>
      <c r="E965">
        <v>204</v>
      </c>
      <c r="F965">
        <v>105</v>
      </c>
      <c r="G965" t="s">
        <v>10</v>
      </c>
      <c r="H965" t="e">
        <f t="shared" si="30"/>
        <v>#VALUE!</v>
      </c>
      <c r="I965" t="str">
        <f t="shared" si="31"/>
        <v>-</v>
      </c>
    </row>
    <row r="966" spans="1:9" x14ac:dyDescent="0.2">
      <c r="A966">
        <v>297699</v>
      </c>
      <c r="B966" t="s">
        <v>13</v>
      </c>
      <c r="C966" t="s">
        <v>8</v>
      </c>
      <c r="D966" t="s">
        <v>14</v>
      </c>
      <c r="E966">
        <v>26092</v>
      </c>
      <c r="F966">
        <v>1019.22</v>
      </c>
      <c r="G966" t="s">
        <v>15</v>
      </c>
      <c r="H966" t="str">
        <f t="shared" si="30"/>
        <v>PSI</v>
      </c>
      <c r="I966">
        <f t="shared" si="31"/>
        <v>14.782536304938382</v>
      </c>
    </row>
    <row r="967" spans="1:9" x14ac:dyDescent="0.2">
      <c r="A967">
        <v>298081</v>
      </c>
      <c r="B967" t="s">
        <v>16</v>
      </c>
      <c r="C967" t="s">
        <v>8</v>
      </c>
      <c r="D967" t="s">
        <v>17</v>
      </c>
      <c r="E967" t="s">
        <v>18</v>
      </c>
      <c r="F967" t="s">
        <v>18</v>
      </c>
      <c r="G967" t="s">
        <v>18</v>
      </c>
      <c r="H967" t="e">
        <f t="shared" si="30"/>
        <v>#VALUE!</v>
      </c>
      <c r="I967" t="str">
        <f t="shared" si="31"/>
        <v>-</v>
      </c>
    </row>
    <row r="968" spans="1:9" x14ac:dyDescent="0.2">
      <c r="A968">
        <v>298303</v>
      </c>
      <c r="B968" t="s">
        <v>19</v>
      </c>
      <c r="C968" t="s">
        <v>8</v>
      </c>
      <c r="D968" t="s">
        <v>20</v>
      </c>
      <c r="E968">
        <v>13596</v>
      </c>
      <c r="F968">
        <v>1062.19</v>
      </c>
      <c r="G968" t="s">
        <v>15</v>
      </c>
      <c r="H968" t="str">
        <f t="shared" si="30"/>
        <v>PSI</v>
      </c>
      <c r="I968">
        <f t="shared" si="31"/>
        <v>15.405763463965092</v>
      </c>
    </row>
    <row r="969" spans="1:9" x14ac:dyDescent="0.2">
      <c r="A969">
        <v>298525</v>
      </c>
      <c r="B969" t="s">
        <v>21</v>
      </c>
      <c r="C969" t="s">
        <v>8</v>
      </c>
      <c r="D969" t="s">
        <v>22</v>
      </c>
      <c r="E969">
        <v>8745</v>
      </c>
      <c r="F969">
        <v>2186.25</v>
      </c>
      <c r="G969" t="s">
        <v>23</v>
      </c>
      <c r="H969" t="e">
        <f t="shared" si="30"/>
        <v>#VALUE!</v>
      </c>
      <c r="I969" t="str">
        <f t="shared" si="31"/>
        <v>-</v>
      </c>
    </row>
    <row r="970" spans="1:9" x14ac:dyDescent="0.2">
      <c r="A970">
        <v>298727</v>
      </c>
      <c r="B970" t="s">
        <v>24</v>
      </c>
      <c r="C970" t="s">
        <v>8</v>
      </c>
      <c r="D970" t="s">
        <v>25</v>
      </c>
      <c r="E970">
        <v>3</v>
      </c>
      <c r="F970">
        <v>3</v>
      </c>
      <c r="G970" t="s">
        <v>26</v>
      </c>
      <c r="H970" t="e">
        <f t="shared" si="30"/>
        <v>#VALUE!</v>
      </c>
      <c r="I970" t="str">
        <f t="shared" si="31"/>
        <v>-</v>
      </c>
    </row>
    <row r="971" spans="1:9" x14ac:dyDescent="0.2">
      <c r="A971">
        <v>298939</v>
      </c>
      <c r="B971" t="s">
        <v>27</v>
      </c>
      <c r="C971" t="s">
        <v>8</v>
      </c>
      <c r="D971" t="s">
        <v>28</v>
      </c>
      <c r="E971">
        <v>603</v>
      </c>
      <c r="F971">
        <v>14.16</v>
      </c>
      <c r="G971" t="s">
        <v>29</v>
      </c>
      <c r="H971" t="e">
        <f t="shared" si="30"/>
        <v>#VALUE!</v>
      </c>
      <c r="I971" t="str">
        <f t="shared" si="31"/>
        <v>-</v>
      </c>
    </row>
    <row r="972" spans="1:9" x14ac:dyDescent="0.2">
      <c r="A972">
        <v>299151</v>
      </c>
      <c r="B972" t="s">
        <v>30</v>
      </c>
      <c r="C972" t="s">
        <v>8</v>
      </c>
      <c r="D972" t="s">
        <v>31</v>
      </c>
      <c r="E972">
        <v>2903</v>
      </c>
      <c r="F972">
        <v>2903</v>
      </c>
      <c r="G972" t="s">
        <v>15</v>
      </c>
      <c r="H972" t="str">
        <f t="shared" si="30"/>
        <v>PSI</v>
      </c>
      <c r="I972">
        <f t="shared" si="31"/>
        <v>42.104455263079736</v>
      </c>
    </row>
    <row r="973" spans="1:9" x14ac:dyDescent="0.2">
      <c r="A973">
        <v>299363</v>
      </c>
      <c r="B973" t="s">
        <v>32</v>
      </c>
      <c r="C973" t="s">
        <v>8</v>
      </c>
      <c r="D973" t="s">
        <v>33</v>
      </c>
      <c r="E973">
        <v>4088</v>
      </c>
      <c r="F973">
        <v>1</v>
      </c>
      <c r="G973" t="s">
        <v>26</v>
      </c>
      <c r="H973" t="e">
        <f t="shared" si="30"/>
        <v>#VALUE!</v>
      </c>
      <c r="I973" t="str">
        <f t="shared" si="31"/>
        <v>-</v>
      </c>
    </row>
    <row r="974" spans="1:9" x14ac:dyDescent="0.2">
      <c r="A974">
        <v>299575</v>
      </c>
      <c r="B974" t="s">
        <v>34</v>
      </c>
      <c r="C974" t="s">
        <v>8</v>
      </c>
      <c r="D974" t="s">
        <v>35</v>
      </c>
      <c r="E974">
        <v>4132</v>
      </c>
      <c r="F974">
        <v>1.01</v>
      </c>
      <c r="G974" t="s">
        <v>26</v>
      </c>
      <c r="H974" t="e">
        <f t="shared" si="30"/>
        <v>#VALUE!</v>
      </c>
      <c r="I974" t="str">
        <f t="shared" si="31"/>
        <v>-</v>
      </c>
    </row>
    <row r="975" spans="1:9" x14ac:dyDescent="0.2">
      <c r="A975">
        <v>299957</v>
      </c>
      <c r="B975" t="s">
        <v>36</v>
      </c>
      <c r="C975" t="s">
        <v>8</v>
      </c>
      <c r="D975" t="s">
        <v>37</v>
      </c>
      <c r="E975" t="s">
        <v>18</v>
      </c>
      <c r="F975" t="s">
        <v>18</v>
      </c>
      <c r="G975" t="s">
        <v>18</v>
      </c>
      <c r="H975" t="e">
        <f t="shared" si="30"/>
        <v>#VALUE!</v>
      </c>
      <c r="I975" t="str">
        <f t="shared" si="31"/>
        <v>-</v>
      </c>
    </row>
    <row r="976" spans="1:9" x14ac:dyDescent="0.2">
      <c r="A976">
        <v>300339</v>
      </c>
      <c r="B976" t="s">
        <v>38</v>
      </c>
      <c r="C976" t="s">
        <v>8</v>
      </c>
      <c r="D976" t="s">
        <v>39</v>
      </c>
      <c r="E976" t="s">
        <v>18</v>
      </c>
      <c r="F976" t="s">
        <v>18</v>
      </c>
      <c r="G976" t="s">
        <v>18</v>
      </c>
      <c r="H976" t="e">
        <f t="shared" si="30"/>
        <v>#VALUE!</v>
      </c>
      <c r="I976" t="str">
        <f t="shared" si="31"/>
        <v>-</v>
      </c>
    </row>
    <row r="977" spans="1:9" x14ac:dyDescent="0.2">
      <c r="A977">
        <v>300731</v>
      </c>
      <c r="B977" t="s">
        <v>40</v>
      </c>
      <c r="C977" t="s">
        <v>8</v>
      </c>
      <c r="D977" t="s">
        <v>41</v>
      </c>
      <c r="E977" t="s">
        <v>18</v>
      </c>
      <c r="F977" t="s">
        <v>18</v>
      </c>
      <c r="G977" t="s">
        <v>18</v>
      </c>
      <c r="H977" t="e">
        <f t="shared" si="30"/>
        <v>#VALUE!</v>
      </c>
      <c r="I977" t="str">
        <f t="shared" si="31"/>
        <v>-</v>
      </c>
    </row>
    <row r="978" spans="1:9" x14ac:dyDescent="0.2">
      <c r="A978">
        <v>300943</v>
      </c>
      <c r="B978" t="s">
        <v>42</v>
      </c>
      <c r="C978" t="s">
        <v>8</v>
      </c>
      <c r="D978" t="s">
        <v>43</v>
      </c>
      <c r="E978">
        <v>13038</v>
      </c>
      <c r="F978">
        <v>6.52</v>
      </c>
      <c r="G978" t="s">
        <v>44</v>
      </c>
      <c r="H978" t="str">
        <f t="shared" si="30"/>
        <v>PSI</v>
      </c>
      <c r="I978">
        <f t="shared" si="31"/>
        <v>945.64605000096401</v>
      </c>
    </row>
    <row r="979" spans="1:9" x14ac:dyDescent="0.2">
      <c r="A979">
        <v>301125</v>
      </c>
      <c r="B979" t="s">
        <v>45</v>
      </c>
      <c r="C979" t="s">
        <v>8</v>
      </c>
      <c r="D979" t="s">
        <v>46</v>
      </c>
      <c r="E979">
        <v>1</v>
      </c>
      <c r="F979">
        <v>1</v>
      </c>
      <c r="G979" t="s">
        <v>15</v>
      </c>
      <c r="H979" t="str">
        <f t="shared" si="30"/>
        <v>PSI</v>
      </c>
      <c r="I979">
        <f t="shared" si="31"/>
        <v>1.4503773773020921E-2</v>
      </c>
    </row>
    <row r="980" spans="1:9" x14ac:dyDescent="0.2">
      <c r="A980">
        <v>301337</v>
      </c>
      <c r="B980" t="s">
        <v>47</v>
      </c>
      <c r="C980" t="s">
        <v>8</v>
      </c>
      <c r="D980" t="s">
        <v>48</v>
      </c>
      <c r="E980">
        <v>2673</v>
      </c>
      <c r="F980">
        <v>267.3</v>
      </c>
      <c r="G980" t="s">
        <v>49</v>
      </c>
      <c r="H980" t="e">
        <f t="shared" si="30"/>
        <v>#VALUE!</v>
      </c>
      <c r="I980" t="str">
        <f t="shared" si="31"/>
        <v>-</v>
      </c>
    </row>
    <row r="981" spans="1:9" x14ac:dyDescent="0.2">
      <c r="A981">
        <v>301549</v>
      </c>
      <c r="B981" t="s">
        <v>50</v>
      </c>
      <c r="C981" t="s">
        <v>8</v>
      </c>
      <c r="D981" t="s">
        <v>51</v>
      </c>
      <c r="E981">
        <v>24916</v>
      </c>
      <c r="F981">
        <v>973.28</v>
      </c>
      <c r="G981" t="s">
        <v>15</v>
      </c>
      <c r="H981" t="str">
        <f t="shared" si="30"/>
        <v>PSI</v>
      </c>
      <c r="I981">
        <f t="shared" si="31"/>
        <v>14.116232937805801</v>
      </c>
    </row>
    <row r="982" spans="1:9" x14ac:dyDescent="0.2">
      <c r="A982">
        <v>301751</v>
      </c>
      <c r="B982" t="s">
        <v>52</v>
      </c>
      <c r="C982" t="s">
        <v>8</v>
      </c>
      <c r="D982" t="s">
        <v>53</v>
      </c>
      <c r="E982">
        <v>94</v>
      </c>
      <c r="F982">
        <v>22.5</v>
      </c>
      <c r="G982" t="s">
        <v>10</v>
      </c>
      <c r="H982" t="e">
        <f t="shared" si="30"/>
        <v>#VALUE!</v>
      </c>
      <c r="I982" t="str">
        <f t="shared" si="31"/>
        <v>-</v>
      </c>
    </row>
    <row r="983" spans="1:9" x14ac:dyDescent="0.2">
      <c r="A983">
        <v>301953</v>
      </c>
      <c r="B983" t="s">
        <v>54</v>
      </c>
      <c r="C983" t="s">
        <v>8</v>
      </c>
      <c r="D983" t="s">
        <v>55</v>
      </c>
      <c r="E983">
        <v>5</v>
      </c>
      <c r="F983">
        <v>20</v>
      </c>
      <c r="G983" t="s">
        <v>56</v>
      </c>
      <c r="H983" t="e">
        <f t="shared" si="30"/>
        <v>#VALUE!</v>
      </c>
      <c r="I983" t="str">
        <f t="shared" si="31"/>
        <v>-</v>
      </c>
    </row>
    <row r="984" spans="1:9" x14ac:dyDescent="0.2">
      <c r="A984">
        <v>302335</v>
      </c>
      <c r="B984" t="s">
        <v>57</v>
      </c>
      <c r="C984" t="s">
        <v>8</v>
      </c>
      <c r="D984" t="s">
        <v>58</v>
      </c>
      <c r="E984" t="s">
        <v>18</v>
      </c>
      <c r="F984" t="s">
        <v>18</v>
      </c>
      <c r="G984" t="s">
        <v>18</v>
      </c>
      <c r="H984" t="e">
        <f t="shared" si="30"/>
        <v>#VALUE!</v>
      </c>
      <c r="I984" t="str">
        <f t="shared" si="31"/>
        <v>-</v>
      </c>
    </row>
    <row r="985" spans="1:9" x14ac:dyDescent="0.2">
      <c r="A985">
        <v>302717</v>
      </c>
      <c r="B985" t="s">
        <v>59</v>
      </c>
      <c r="C985" t="s">
        <v>8</v>
      </c>
      <c r="D985" t="s">
        <v>60</v>
      </c>
      <c r="E985" t="s">
        <v>18</v>
      </c>
      <c r="F985" t="s">
        <v>18</v>
      </c>
      <c r="G985" t="s">
        <v>18</v>
      </c>
      <c r="H985" t="e">
        <f t="shared" si="30"/>
        <v>#VALUE!</v>
      </c>
      <c r="I985" t="str">
        <f t="shared" si="31"/>
        <v>-</v>
      </c>
    </row>
    <row r="986" spans="1:9" x14ac:dyDescent="0.2">
      <c r="A986">
        <v>303099</v>
      </c>
      <c r="B986" t="s">
        <v>61</v>
      </c>
      <c r="C986" t="s">
        <v>8</v>
      </c>
      <c r="D986" t="s">
        <v>62</v>
      </c>
      <c r="E986" t="s">
        <v>18</v>
      </c>
      <c r="F986" t="s">
        <v>18</v>
      </c>
      <c r="G986" t="s">
        <v>18</v>
      </c>
      <c r="H986" t="e">
        <f t="shared" si="30"/>
        <v>#VALUE!</v>
      </c>
      <c r="I986" t="str">
        <f t="shared" si="31"/>
        <v>-</v>
      </c>
    </row>
    <row r="987" spans="1:9" x14ac:dyDescent="0.2">
      <c r="A987">
        <v>303471</v>
      </c>
      <c r="B987" t="s">
        <v>63</v>
      </c>
      <c r="C987" t="s">
        <v>8</v>
      </c>
      <c r="D987" t="s">
        <v>64</v>
      </c>
      <c r="E987" t="s">
        <v>18</v>
      </c>
      <c r="F987" t="s">
        <v>18</v>
      </c>
      <c r="G987" t="s">
        <v>18</v>
      </c>
      <c r="H987" t="e">
        <f t="shared" si="30"/>
        <v>#VALUE!</v>
      </c>
      <c r="I987" t="str">
        <f t="shared" si="31"/>
        <v>-</v>
      </c>
    </row>
    <row r="988" spans="1:9" x14ac:dyDescent="0.2">
      <c r="A988">
        <v>303723</v>
      </c>
      <c r="B988" t="s">
        <v>65</v>
      </c>
      <c r="C988" t="s">
        <v>8</v>
      </c>
      <c r="D988" t="s">
        <v>66</v>
      </c>
      <c r="E988">
        <v>27464</v>
      </c>
      <c r="F988">
        <v>3.35</v>
      </c>
      <c r="G988" t="s">
        <v>67</v>
      </c>
      <c r="H988" t="e">
        <f t="shared" si="30"/>
        <v>#VALUE!</v>
      </c>
      <c r="I988" t="str">
        <f t="shared" si="31"/>
        <v>-</v>
      </c>
    </row>
    <row r="989" spans="1:9" x14ac:dyDescent="0.2">
      <c r="A989">
        <v>304105</v>
      </c>
      <c r="B989" t="s">
        <v>68</v>
      </c>
      <c r="C989" t="s">
        <v>8</v>
      </c>
      <c r="D989" t="s">
        <v>69</v>
      </c>
      <c r="E989" t="s">
        <v>18</v>
      </c>
      <c r="F989" t="s">
        <v>18</v>
      </c>
      <c r="G989" t="s">
        <v>18</v>
      </c>
      <c r="H989" t="e">
        <f t="shared" si="30"/>
        <v>#VALUE!</v>
      </c>
      <c r="I989" t="str">
        <f t="shared" si="31"/>
        <v>-</v>
      </c>
    </row>
    <row r="990" spans="1:9" x14ac:dyDescent="0.2">
      <c r="A990">
        <v>304307</v>
      </c>
      <c r="B990" t="s">
        <v>7</v>
      </c>
      <c r="C990" t="s">
        <v>8</v>
      </c>
      <c r="D990" t="s">
        <v>9</v>
      </c>
      <c r="E990">
        <v>163</v>
      </c>
      <c r="F990">
        <v>103</v>
      </c>
      <c r="G990" t="s">
        <v>10</v>
      </c>
      <c r="H990" t="e">
        <f t="shared" si="30"/>
        <v>#VALUE!</v>
      </c>
      <c r="I990" t="str">
        <f t="shared" si="31"/>
        <v>-</v>
      </c>
    </row>
    <row r="991" spans="1:9" x14ac:dyDescent="0.2">
      <c r="A991">
        <v>304499</v>
      </c>
      <c r="B991" t="s">
        <v>11</v>
      </c>
      <c r="C991" t="s">
        <v>8</v>
      </c>
      <c r="D991" t="s">
        <v>12</v>
      </c>
      <c r="E991">
        <v>204</v>
      </c>
      <c r="F991">
        <v>105</v>
      </c>
      <c r="G991" t="s">
        <v>10</v>
      </c>
      <c r="H991" t="e">
        <f t="shared" si="30"/>
        <v>#VALUE!</v>
      </c>
      <c r="I991" t="str">
        <f t="shared" si="31"/>
        <v>-</v>
      </c>
    </row>
    <row r="992" spans="1:9" x14ac:dyDescent="0.2">
      <c r="A992">
        <v>304711</v>
      </c>
      <c r="B992" t="s">
        <v>13</v>
      </c>
      <c r="C992" t="s">
        <v>8</v>
      </c>
      <c r="D992" t="s">
        <v>14</v>
      </c>
      <c r="E992">
        <v>26124</v>
      </c>
      <c r="F992">
        <v>1020.47</v>
      </c>
      <c r="G992" t="s">
        <v>15</v>
      </c>
      <c r="H992" t="str">
        <f t="shared" si="30"/>
        <v>PSI</v>
      </c>
      <c r="I992">
        <f t="shared" si="31"/>
        <v>14.800666022154658</v>
      </c>
    </row>
    <row r="993" spans="1:9" x14ac:dyDescent="0.2">
      <c r="A993">
        <v>305093</v>
      </c>
      <c r="B993" t="s">
        <v>16</v>
      </c>
      <c r="C993" t="s">
        <v>8</v>
      </c>
      <c r="D993" t="s">
        <v>17</v>
      </c>
      <c r="E993" t="s">
        <v>18</v>
      </c>
      <c r="F993" t="s">
        <v>18</v>
      </c>
      <c r="G993" t="s">
        <v>18</v>
      </c>
      <c r="H993" t="e">
        <f t="shared" si="30"/>
        <v>#VALUE!</v>
      </c>
      <c r="I993" t="str">
        <f t="shared" si="31"/>
        <v>-</v>
      </c>
    </row>
    <row r="994" spans="1:9" x14ac:dyDescent="0.2">
      <c r="A994">
        <v>305305</v>
      </c>
      <c r="B994" t="s">
        <v>19</v>
      </c>
      <c r="C994" t="s">
        <v>8</v>
      </c>
      <c r="D994" t="s">
        <v>20</v>
      </c>
      <c r="E994">
        <v>13344</v>
      </c>
      <c r="F994">
        <v>1042.5</v>
      </c>
      <c r="G994" t="s">
        <v>15</v>
      </c>
      <c r="H994" t="str">
        <f t="shared" si="30"/>
        <v>PSI</v>
      </c>
      <c r="I994">
        <f t="shared" si="31"/>
        <v>15.120184158374309</v>
      </c>
    </row>
    <row r="995" spans="1:9" x14ac:dyDescent="0.2">
      <c r="A995">
        <v>305517</v>
      </c>
      <c r="B995" t="s">
        <v>21</v>
      </c>
      <c r="C995" t="s">
        <v>8</v>
      </c>
      <c r="D995" t="s">
        <v>22</v>
      </c>
      <c r="E995">
        <v>9343</v>
      </c>
      <c r="F995">
        <v>2335.75</v>
      </c>
      <c r="G995" t="s">
        <v>23</v>
      </c>
      <c r="H995" t="e">
        <f t="shared" si="30"/>
        <v>#VALUE!</v>
      </c>
      <c r="I995" t="str">
        <f t="shared" si="31"/>
        <v>-</v>
      </c>
    </row>
    <row r="996" spans="1:9" x14ac:dyDescent="0.2">
      <c r="A996">
        <v>305709</v>
      </c>
      <c r="B996" t="s">
        <v>24</v>
      </c>
      <c r="C996" t="s">
        <v>8</v>
      </c>
      <c r="D996" t="s">
        <v>25</v>
      </c>
      <c r="E996">
        <v>3</v>
      </c>
      <c r="F996">
        <v>3</v>
      </c>
      <c r="G996" t="s">
        <v>26</v>
      </c>
      <c r="H996" t="e">
        <f t="shared" si="30"/>
        <v>#VALUE!</v>
      </c>
      <c r="I996" t="str">
        <f t="shared" si="31"/>
        <v>-</v>
      </c>
    </row>
    <row r="997" spans="1:9" x14ac:dyDescent="0.2">
      <c r="A997">
        <v>305932</v>
      </c>
      <c r="B997" t="s">
        <v>27</v>
      </c>
      <c r="C997" t="s">
        <v>8</v>
      </c>
      <c r="D997" t="s">
        <v>28</v>
      </c>
      <c r="E997">
        <v>605</v>
      </c>
      <c r="F997">
        <v>14.21</v>
      </c>
      <c r="G997" t="s">
        <v>29</v>
      </c>
      <c r="H997" t="e">
        <f t="shared" si="30"/>
        <v>#VALUE!</v>
      </c>
      <c r="I997" t="str">
        <f t="shared" si="31"/>
        <v>-</v>
      </c>
    </row>
    <row r="998" spans="1:9" x14ac:dyDescent="0.2">
      <c r="A998">
        <v>306144</v>
      </c>
      <c r="B998" t="s">
        <v>30</v>
      </c>
      <c r="C998" t="s">
        <v>8</v>
      </c>
      <c r="D998" t="s">
        <v>31</v>
      </c>
      <c r="E998">
        <v>2876</v>
      </c>
      <c r="F998">
        <v>2876</v>
      </c>
      <c r="G998" t="s">
        <v>15</v>
      </c>
      <c r="H998" t="str">
        <f t="shared" si="30"/>
        <v>PSI</v>
      </c>
      <c r="I998">
        <f t="shared" si="31"/>
        <v>41.712853371208169</v>
      </c>
    </row>
    <row r="999" spans="1:9" x14ac:dyDescent="0.2">
      <c r="A999">
        <v>306356</v>
      </c>
      <c r="B999" t="s">
        <v>32</v>
      </c>
      <c r="C999" t="s">
        <v>8</v>
      </c>
      <c r="D999" t="s">
        <v>33</v>
      </c>
      <c r="E999">
        <v>48350</v>
      </c>
      <c r="F999">
        <v>11.8</v>
      </c>
      <c r="G999" t="s">
        <v>26</v>
      </c>
      <c r="H999" t="e">
        <f t="shared" si="30"/>
        <v>#VALUE!</v>
      </c>
      <c r="I999" t="str">
        <f t="shared" si="31"/>
        <v>-</v>
      </c>
    </row>
    <row r="1000" spans="1:9" x14ac:dyDescent="0.2">
      <c r="A1000">
        <v>306568</v>
      </c>
      <c r="B1000" t="s">
        <v>34</v>
      </c>
      <c r="C1000" t="s">
        <v>8</v>
      </c>
      <c r="D1000" t="s">
        <v>35</v>
      </c>
      <c r="E1000">
        <v>65299</v>
      </c>
      <c r="F1000">
        <v>15.94</v>
      </c>
      <c r="G1000" t="s">
        <v>26</v>
      </c>
      <c r="H1000" t="e">
        <f t="shared" si="30"/>
        <v>#VALUE!</v>
      </c>
      <c r="I1000" t="str">
        <f t="shared" si="31"/>
        <v>-</v>
      </c>
    </row>
    <row r="1001" spans="1:9" x14ac:dyDescent="0.2">
      <c r="A1001">
        <v>306950</v>
      </c>
      <c r="B1001" t="s">
        <v>36</v>
      </c>
      <c r="C1001" t="s">
        <v>8</v>
      </c>
      <c r="D1001" t="s">
        <v>37</v>
      </c>
      <c r="E1001" t="s">
        <v>18</v>
      </c>
      <c r="F1001" t="s">
        <v>18</v>
      </c>
      <c r="G1001" t="s">
        <v>18</v>
      </c>
      <c r="H1001" t="e">
        <f t="shared" si="30"/>
        <v>#VALUE!</v>
      </c>
      <c r="I1001" t="str">
        <f t="shared" si="31"/>
        <v>-</v>
      </c>
    </row>
    <row r="1002" spans="1:9" x14ac:dyDescent="0.2">
      <c r="A1002">
        <v>307332</v>
      </c>
      <c r="B1002" t="s">
        <v>38</v>
      </c>
      <c r="C1002" t="s">
        <v>8</v>
      </c>
      <c r="D1002" t="s">
        <v>39</v>
      </c>
      <c r="E1002" t="s">
        <v>18</v>
      </c>
      <c r="F1002" t="s">
        <v>18</v>
      </c>
      <c r="G1002" t="s">
        <v>18</v>
      </c>
      <c r="H1002" t="e">
        <f t="shared" si="30"/>
        <v>#VALUE!</v>
      </c>
      <c r="I1002" t="str">
        <f t="shared" si="31"/>
        <v>-</v>
      </c>
    </row>
    <row r="1003" spans="1:9" x14ac:dyDescent="0.2">
      <c r="A1003">
        <v>307714</v>
      </c>
      <c r="B1003" t="s">
        <v>40</v>
      </c>
      <c r="C1003" t="s">
        <v>8</v>
      </c>
      <c r="D1003" t="s">
        <v>41</v>
      </c>
      <c r="E1003" t="s">
        <v>18</v>
      </c>
      <c r="F1003" t="s">
        <v>18</v>
      </c>
      <c r="G1003" t="s">
        <v>18</v>
      </c>
      <c r="H1003" t="e">
        <f t="shared" si="30"/>
        <v>#VALUE!</v>
      </c>
      <c r="I1003" t="str">
        <f t="shared" si="31"/>
        <v>-</v>
      </c>
    </row>
    <row r="1004" spans="1:9" x14ac:dyDescent="0.2">
      <c r="A1004">
        <v>307946</v>
      </c>
      <c r="B1004" t="s">
        <v>42</v>
      </c>
      <c r="C1004" t="s">
        <v>8</v>
      </c>
      <c r="D1004" t="s">
        <v>43</v>
      </c>
      <c r="E1004">
        <v>10555</v>
      </c>
      <c r="F1004">
        <v>5.28</v>
      </c>
      <c r="G1004" t="s">
        <v>44</v>
      </c>
      <c r="H1004" t="str">
        <f t="shared" si="30"/>
        <v>PSI</v>
      </c>
      <c r="I1004">
        <f t="shared" si="31"/>
        <v>765.79925521550467</v>
      </c>
    </row>
    <row r="1005" spans="1:9" x14ac:dyDescent="0.2">
      <c r="A1005">
        <v>308177</v>
      </c>
      <c r="B1005" t="s">
        <v>45</v>
      </c>
      <c r="C1005" t="s">
        <v>8</v>
      </c>
      <c r="D1005" t="s">
        <v>46</v>
      </c>
      <c r="E1005">
        <v>1</v>
      </c>
      <c r="F1005">
        <v>1</v>
      </c>
      <c r="G1005" t="s">
        <v>15</v>
      </c>
      <c r="H1005" t="str">
        <f t="shared" si="30"/>
        <v>PSI</v>
      </c>
      <c r="I1005">
        <f t="shared" si="31"/>
        <v>1.4503773773020921E-2</v>
      </c>
    </row>
    <row r="1006" spans="1:9" x14ac:dyDescent="0.2">
      <c r="A1006">
        <v>308389</v>
      </c>
      <c r="B1006" t="s">
        <v>47</v>
      </c>
      <c r="C1006" t="s">
        <v>8</v>
      </c>
      <c r="D1006" t="s">
        <v>48</v>
      </c>
      <c r="E1006">
        <v>2743</v>
      </c>
      <c r="F1006">
        <v>274.3</v>
      </c>
      <c r="G1006" t="s">
        <v>49</v>
      </c>
      <c r="H1006" t="e">
        <f t="shared" si="30"/>
        <v>#VALUE!</v>
      </c>
      <c r="I1006" t="str">
        <f t="shared" si="31"/>
        <v>-</v>
      </c>
    </row>
    <row r="1007" spans="1:9" x14ac:dyDescent="0.2">
      <c r="A1007">
        <v>308601</v>
      </c>
      <c r="B1007" t="s">
        <v>50</v>
      </c>
      <c r="C1007" t="s">
        <v>8</v>
      </c>
      <c r="D1007" t="s">
        <v>51</v>
      </c>
      <c r="E1007">
        <v>24762</v>
      </c>
      <c r="F1007">
        <v>967.27</v>
      </c>
      <c r="G1007" t="s">
        <v>15</v>
      </c>
      <c r="H1007" t="str">
        <f t="shared" si="30"/>
        <v>PSI</v>
      </c>
      <c r="I1007">
        <f t="shared" si="31"/>
        <v>14.029065257429947</v>
      </c>
    </row>
    <row r="1008" spans="1:9" x14ac:dyDescent="0.2">
      <c r="A1008">
        <v>308784</v>
      </c>
      <c r="B1008" t="s">
        <v>52</v>
      </c>
      <c r="C1008" t="s">
        <v>8</v>
      </c>
      <c r="D1008" t="s">
        <v>53</v>
      </c>
      <c r="E1008">
        <v>94</v>
      </c>
      <c r="F1008">
        <v>22.5</v>
      </c>
      <c r="G1008" t="s">
        <v>10</v>
      </c>
      <c r="H1008" t="e">
        <f t="shared" si="30"/>
        <v>#VALUE!</v>
      </c>
      <c r="I1008" t="str">
        <f t="shared" si="31"/>
        <v>-</v>
      </c>
    </row>
    <row r="1009" spans="1:9" x14ac:dyDescent="0.2">
      <c r="A1009">
        <v>308976</v>
      </c>
      <c r="B1009" t="s">
        <v>54</v>
      </c>
      <c r="C1009" t="s">
        <v>8</v>
      </c>
      <c r="D1009" t="s">
        <v>55</v>
      </c>
      <c r="E1009">
        <v>5</v>
      </c>
      <c r="F1009">
        <v>20</v>
      </c>
      <c r="G1009" t="s">
        <v>56</v>
      </c>
      <c r="H1009" t="e">
        <f t="shared" si="30"/>
        <v>#VALUE!</v>
      </c>
      <c r="I1009" t="str">
        <f t="shared" si="31"/>
        <v>-</v>
      </c>
    </row>
    <row r="1010" spans="1:9" x14ac:dyDescent="0.2">
      <c r="A1010">
        <v>309358</v>
      </c>
      <c r="B1010" t="s">
        <v>57</v>
      </c>
      <c r="C1010" t="s">
        <v>8</v>
      </c>
      <c r="D1010" t="s">
        <v>58</v>
      </c>
      <c r="E1010" t="s">
        <v>18</v>
      </c>
      <c r="F1010" t="s">
        <v>18</v>
      </c>
      <c r="G1010" t="s">
        <v>18</v>
      </c>
      <c r="H1010" t="e">
        <f t="shared" si="30"/>
        <v>#VALUE!</v>
      </c>
      <c r="I1010" t="str">
        <f t="shared" si="31"/>
        <v>-</v>
      </c>
    </row>
    <row r="1011" spans="1:9" x14ac:dyDescent="0.2">
      <c r="A1011">
        <v>309740</v>
      </c>
      <c r="B1011" t="s">
        <v>59</v>
      </c>
      <c r="C1011" t="s">
        <v>8</v>
      </c>
      <c r="D1011" t="s">
        <v>60</v>
      </c>
      <c r="E1011" t="s">
        <v>18</v>
      </c>
      <c r="F1011" t="s">
        <v>18</v>
      </c>
      <c r="G1011" t="s">
        <v>18</v>
      </c>
      <c r="H1011" t="e">
        <f t="shared" si="30"/>
        <v>#VALUE!</v>
      </c>
      <c r="I1011" t="str">
        <f t="shared" si="31"/>
        <v>-</v>
      </c>
    </row>
    <row r="1012" spans="1:9" x14ac:dyDescent="0.2">
      <c r="A1012">
        <v>310112</v>
      </c>
      <c r="B1012" t="s">
        <v>61</v>
      </c>
      <c r="C1012" t="s">
        <v>8</v>
      </c>
      <c r="D1012" t="s">
        <v>62</v>
      </c>
      <c r="E1012" t="s">
        <v>18</v>
      </c>
      <c r="F1012" t="s">
        <v>18</v>
      </c>
      <c r="G1012" t="s">
        <v>18</v>
      </c>
      <c r="H1012" t="e">
        <f t="shared" si="30"/>
        <v>#VALUE!</v>
      </c>
      <c r="I1012" t="str">
        <f t="shared" si="31"/>
        <v>-</v>
      </c>
    </row>
    <row r="1013" spans="1:9" x14ac:dyDescent="0.2">
      <c r="A1013">
        <v>310504</v>
      </c>
      <c r="B1013" t="s">
        <v>63</v>
      </c>
      <c r="C1013" t="s">
        <v>8</v>
      </c>
      <c r="D1013" t="s">
        <v>64</v>
      </c>
      <c r="E1013" t="s">
        <v>18</v>
      </c>
      <c r="F1013" t="s">
        <v>18</v>
      </c>
      <c r="G1013" t="s">
        <v>18</v>
      </c>
      <c r="H1013" t="e">
        <f t="shared" si="30"/>
        <v>#VALUE!</v>
      </c>
      <c r="I1013" t="str">
        <f t="shared" si="31"/>
        <v>-</v>
      </c>
    </row>
    <row r="1014" spans="1:9" x14ac:dyDescent="0.2">
      <c r="A1014">
        <v>310756</v>
      </c>
      <c r="B1014" t="s">
        <v>65</v>
      </c>
      <c r="C1014" t="s">
        <v>8</v>
      </c>
      <c r="D1014" t="s">
        <v>66</v>
      </c>
      <c r="E1014">
        <v>27472</v>
      </c>
      <c r="F1014">
        <v>3.35</v>
      </c>
      <c r="G1014" t="s">
        <v>67</v>
      </c>
      <c r="H1014" t="e">
        <f t="shared" si="30"/>
        <v>#VALUE!</v>
      </c>
      <c r="I1014" t="str">
        <f t="shared" si="31"/>
        <v>-</v>
      </c>
    </row>
    <row r="1015" spans="1:9" x14ac:dyDescent="0.2">
      <c r="A1015">
        <v>311138</v>
      </c>
      <c r="B1015" t="s">
        <v>68</v>
      </c>
      <c r="C1015" t="s">
        <v>8</v>
      </c>
      <c r="D1015" t="s">
        <v>69</v>
      </c>
      <c r="E1015" t="s">
        <v>18</v>
      </c>
      <c r="F1015" t="s">
        <v>18</v>
      </c>
      <c r="G1015" t="s">
        <v>18</v>
      </c>
      <c r="H1015" t="e">
        <f t="shared" si="30"/>
        <v>#VALUE!</v>
      </c>
      <c r="I1015" t="str">
        <f t="shared" si="31"/>
        <v>-</v>
      </c>
    </row>
    <row r="1016" spans="1:9" x14ac:dyDescent="0.2">
      <c r="A1016">
        <v>311340</v>
      </c>
      <c r="B1016" t="s">
        <v>7</v>
      </c>
      <c r="C1016" t="s">
        <v>8</v>
      </c>
      <c r="D1016" t="s">
        <v>9</v>
      </c>
      <c r="E1016">
        <v>163</v>
      </c>
      <c r="F1016">
        <v>103</v>
      </c>
      <c r="G1016" t="s">
        <v>10</v>
      </c>
      <c r="H1016" t="e">
        <f t="shared" si="30"/>
        <v>#VALUE!</v>
      </c>
      <c r="I1016" t="str">
        <f t="shared" si="31"/>
        <v>-</v>
      </c>
    </row>
    <row r="1017" spans="1:9" x14ac:dyDescent="0.2">
      <c r="A1017">
        <v>311522</v>
      </c>
      <c r="B1017" t="s">
        <v>11</v>
      </c>
      <c r="C1017" t="s">
        <v>8</v>
      </c>
      <c r="D1017" t="s">
        <v>12</v>
      </c>
      <c r="E1017">
        <v>204</v>
      </c>
      <c r="F1017">
        <v>105</v>
      </c>
      <c r="G1017" t="s">
        <v>10</v>
      </c>
      <c r="H1017" t="e">
        <f t="shared" si="30"/>
        <v>#VALUE!</v>
      </c>
      <c r="I1017" t="str">
        <f t="shared" si="31"/>
        <v>-</v>
      </c>
    </row>
    <row r="1018" spans="1:9" x14ac:dyDescent="0.2">
      <c r="A1018">
        <v>311734</v>
      </c>
      <c r="B1018" t="s">
        <v>13</v>
      </c>
      <c r="C1018" t="s">
        <v>8</v>
      </c>
      <c r="D1018" t="s">
        <v>14</v>
      </c>
      <c r="E1018">
        <v>26124</v>
      </c>
      <c r="F1018">
        <v>1020.47</v>
      </c>
      <c r="G1018" t="s">
        <v>15</v>
      </c>
      <c r="H1018" t="str">
        <f t="shared" si="30"/>
        <v>PSI</v>
      </c>
      <c r="I1018">
        <f t="shared" si="31"/>
        <v>14.800666022154658</v>
      </c>
    </row>
    <row r="1019" spans="1:9" x14ac:dyDescent="0.2">
      <c r="A1019">
        <v>312116</v>
      </c>
      <c r="B1019" t="s">
        <v>16</v>
      </c>
      <c r="C1019" t="s">
        <v>8</v>
      </c>
      <c r="D1019" t="s">
        <v>17</v>
      </c>
      <c r="E1019" t="s">
        <v>18</v>
      </c>
      <c r="F1019" t="s">
        <v>18</v>
      </c>
      <c r="G1019" t="s">
        <v>18</v>
      </c>
      <c r="H1019" t="e">
        <f t="shared" si="30"/>
        <v>#VALUE!</v>
      </c>
      <c r="I1019" t="str">
        <f t="shared" si="31"/>
        <v>-</v>
      </c>
    </row>
    <row r="1020" spans="1:9" x14ac:dyDescent="0.2">
      <c r="A1020">
        <v>312349</v>
      </c>
      <c r="B1020" t="s">
        <v>19</v>
      </c>
      <c r="C1020" t="s">
        <v>8</v>
      </c>
      <c r="D1020" t="s">
        <v>20</v>
      </c>
      <c r="E1020">
        <v>13165</v>
      </c>
      <c r="F1020">
        <v>1028.52</v>
      </c>
      <c r="G1020" t="s">
        <v>15</v>
      </c>
      <c r="H1020" t="str">
        <f t="shared" si="30"/>
        <v>PSI</v>
      </c>
      <c r="I1020">
        <f t="shared" si="31"/>
        <v>14.917421401027477</v>
      </c>
    </row>
    <row r="1021" spans="1:9" x14ac:dyDescent="0.2">
      <c r="A1021">
        <v>312561</v>
      </c>
      <c r="B1021" t="s">
        <v>21</v>
      </c>
      <c r="C1021" t="s">
        <v>8</v>
      </c>
      <c r="D1021" t="s">
        <v>22</v>
      </c>
      <c r="E1021">
        <v>4329</v>
      </c>
      <c r="F1021">
        <v>1082.25</v>
      </c>
      <c r="G1021" t="s">
        <v>23</v>
      </c>
      <c r="H1021" t="e">
        <f t="shared" si="30"/>
        <v>#VALUE!</v>
      </c>
      <c r="I1021" t="str">
        <f t="shared" si="31"/>
        <v>-</v>
      </c>
    </row>
    <row r="1022" spans="1:9" x14ac:dyDescent="0.2">
      <c r="A1022">
        <v>312743</v>
      </c>
      <c r="B1022" t="s">
        <v>24</v>
      </c>
      <c r="C1022" t="s">
        <v>8</v>
      </c>
      <c r="D1022" t="s">
        <v>25</v>
      </c>
      <c r="E1022">
        <v>3</v>
      </c>
      <c r="F1022">
        <v>3</v>
      </c>
      <c r="G1022" t="s">
        <v>26</v>
      </c>
      <c r="H1022" t="e">
        <f t="shared" si="30"/>
        <v>#VALUE!</v>
      </c>
      <c r="I1022" t="str">
        <f t="shared" si="31"/>
        <v>-</v>
      </c>
    </row>
    <row r="1023" spans="1:9" x14ac:dyDescent="0.2">
      <c r="A1023">
        <v>312945</v>
      </c>
      <c r="B1023" t="s">
        <v>27</v>
      </c>
      <c r="C1023" t="s">
        <v>8</v>
      </c>
      <c r="D1023" t="s">
        <v>28</v>
      </c>
      <c r="E1023">
        <v>599</v>
      </c>
      <c r="F1023">
        <v>14.07</v>
      </c>
      <c r="G1023" t="s">
        <v>29</v>
      </c>
      <c r="H1023" t="e">
        <f t="shared" si="30"/>
        <v>#VALUE!</v>
      </c>
      <c r="I1023" t="str">
        <f t="shared" si="31"/>
        <v>-</v>
      </c>
    </row>
    <row r="1024" spans="1:9" x14ac:dyDescent="0.2">
      <c r="A1024">
        <v>313167</v>
      </c>
      <c r="B1024" t="s">
        <v>30</v>
      </c>
      <c r="C1024" t="s">
        <v>8</v>
      </c>
      <c r="D1024" t="s">
        <v>31</v>
      </c>
      <c r="E1024">
        <v>2849</v>
      </c>
      <c r="F1024">
        <v>2849</v>
      </c>
      <c r="G1024" t="s">
        <v>15</v>
      </c>
      <c r="H1024" t="str">
        <f t="shared" si="30"/>
        <v>PSI</v>
      </c>
      <c r="I1024">
        <f t="shared" si="31"/>
        <v>41.321251479336603</v>
      </c>
    </row>
    <row r="1025" spans="1:9" x14ac:dyDescent="0.2">
      <c r="A1025">
        <v>313379</v>
      </c>
      <c r="B1025" t="s">
        <v>32</v>
      </c>
      <c r="C1025" t="s">
        <v>8</v>
      </c>
      <c r="D1025" t="s">
        <v>33</v>
      </c>
      <c r="E1025">
        <v>4077</v>
      </c>
      <c r="F1025">
        <v>1</v>
      </c>
      <c r="G1025" t="s">
        <v>26</v>
      </c>
      <c r="H1025" t="e">
        <f t="shared" si="30"/>
        <v>#VALUE!</v>
      </c>
      <c r="I1025" t="str">
        <f t="shared" si="31"/>
        <v>-</v>
      </c>
    </row>
    <row r="1026" spans="1:9" x14ac:dyDescent="0.2">
      <c r="A1026">
        <v>313591</v>
      </c>
      <c r="B1026" t="s">
        <v>34</v>
      </c>
      <c r="C1026" t="s">
        <v>8</v>
      </c>
      <c r="D1026" t="s">
        <v>35</v>
      </c>
      <c r="E1026">
        <v>4098</v>
      </c>
      <c r="F1026">
        <v>1</v>
      </c>
      <c r="G1026" t="s">
        <v>26</v>
      </c>
      <c r="H1026" t="e">
        <f t="shared" si="30"/>
        <v>#VALUE!</v>
      </c>
      <c r="I1026" t="str">
        <f t="shared" si="31"/>
        <v>-</v>
      </c>
    </row>
    <row r="1027" spans="1:9" x14ac:dyDescent="0.2">
      <c r="A1027">
        <v>313973</v>
      </c>
      <c r="B1027" t="s">
        <v>36</v>
      </c>
      <c r="C1027" t="s">
        <v>8</v>
      </c>
      <c r="D1027" t="s">
        <v>37</v>
      </c>
      <c r="E1027" t="s">
        <v>18</v>
      </c>
      <c r="F1027" t="s">
        <v>18</v>
      </c>
      <c r="G1027" t="s">
        <v>18</v>
      </c>
      <c r="H1027" t="e">
        <f t="shared" ref="H1027:H1090" si="32">IF(FIND("Pa",G1027,1),"PSI","-")</f>
        <v>#VALUE!</v>
      </c>
      <c r="I1027" t="str">
        <f t="shared" ref="I1027:I1090" si="33">IF(G1027="hPa",CONVERT(F1027*100,"Pa","psi"), IF(G1027="MPa",CONVERT(F1027*1000000,"Pa","psi"),"-"))</f>
        <v>-</v>
      </c>
    </row>
    <row r="1028" spans="1:9" x14ac:dyDescent="0.2">
      <c r="A1028">
        <v>314355</v>
      </c>
      <c r="B1028" t="s">
        <v>38</v>
      </c>
      <c r="C1028" t="s">
        <v>8</v>
      </c>
      <c r="D1028" t="s">
        <v>39</v>
      </c>
      <c r="E1028" t="s">
        <v>18</v>
      </c>
      <c r="F1028" t="s">
        <v>18</v>
      </c>
      <c r="G1028" t="s">
        <v>18</v>
      </c>
      <c r="H1028" t="e">
        <f t="shared" si="32"/>
        <v>#VALUE!</v>
      </c>
      <c r="I1028" t="str">
        <f t="shared" si="33"/>
        <v>-</v>
      </c>
    </row>
    <row r="1029" spans="1:9" x14ac:dyDescent="0.2">
      <c r="A1029">
        <v>314737</v>
      </c>
      <c r="B1029" t="s">
        <v>40</v>
      </c>
      <c r="C1029" t="s">
        <v>8</v>
      </c>
      <c r="D1029" t="s">
        <v>41</v>
      </c>
      <c r="E1029" t="s">
        <v>18</v>
      </c>
      <c r="F1029" t="s">
        <v>18</v>
      </c>
      <c r="G1029" t="s">
        <v>18</v>
      </c>
      <c r="H1029" t="e">
        <f t="shared" si="32"/>
        <v>#VALUE!</v>
      </c>
      <c r="I1029" t="str">
        <f t="shared" si="33"/>
        <v>-</v>
      </c>
    </row>
    <row r="1030" spans="1:9" x14ac:dyDescent="0.2">
      <c r="A1030">
        <v>314949</v>
      </c>
      <c r="B1030" t="s">
        <v>42</v>
      </c>
      <c r="C1030" t="s">
        <v>8</v>
      </c>
      <c r="D1030" t="s">
        <v>43</v>
      </c>
      <c r="E1030">
        <v>10235</v>
      </c>
      <c r="F1030">
        <v>5.12</v>
      </c>
      <c r="G1030" t="s">
        <v>44</v>
      </c>
      <c r="H1030" t="str">
        <f t="shared" si="32"/>
        <v>PSI</v>
      </c>
      <c r="I1030">
        <f t="shared" si="33"/>
        <v>742.59321717867113</v>
      </c>
    </row>
    <row r="1031" spans="1:9" x14ac:dyDescent="0.2">
      <c r="A1031">
        <v>315141</v>
      </c>
      <c r="B1031" t="s">
        <v>45</v>
      </c>
      <c r="C1031" t="s">
        <v>8</v>
      </c>
      <c r="D1031" t="s">
        <v>46</v>
      </c>
      <c r="E1031">
        <v>1</v>
      </c>
      <c r="F1031">
        <v>1</v>
      </c>
      <c r="G1031" t="s">
        <v>15</v>
      </c>
      <c r="H1031" t="str">
        <f t="shared" si="32"/>
        <v>PSI</v>
      </c>
      <c r="I1031">
        <f t="shared" si="33"/>
        <v>1.4503773773020921E-2</v>
      </c>
    </row>
    <row r="1032" spans="1:9" x14ac:dyDescent="0.2">
      <c r="A1032">
        <v>315354</v>
      </c>
      <c r="B1032" t="s">
        <v>47</v>
      </c>
      <c r="C1032" t="s">
        <v>8</v>
      </c>
      <c r="D1032" t="s">
        <v>48</v>
      </c>
      <c r="E1032">
        <v>2813</v>
      </c>
      <c r="F1032">
        <v>281.3</v>
      </c>
      <c r="G1032" t="s">
        <v>49</v>
      </c>
      <c r="H1032" t="e">
        <f t="shared" si="32"/>
        <v>#VALUE!</v>
      </c>
      <c r="I1032" t="str">
        <f t="shared" si="33"/>
        <v>-</v>
      </c>
    </row>
    <row r="1033" spans="1:9" x14ac:dyDescent="0.2">
      <c r="A1033">
        <v>315566</v>
      </c>
      <c r="B1033" t="s">
        <v>50</v>
      </c>
      <c r="C1033" t="s">
        <v>8</v>
      </c>
      <c r="D1033" t="s">
        <v>51</v>
      </c>
      <c r="E1033">
        <v>24730</v>
      </c>
      <c r="F1033">
        <v>966.02</v>
      </c>
      <c r="G1033" t="s">
        <v>15</v>
      </c>
      <c r="H1033" t="str">
        <f t="shared" si="32"/>
        <v>PSI</v>
      </c>
      <c r="I1033">
        <f t="shared" si="33"/>
        <v>14.010935540213669</v>
      </c>
    </row>
    <row r="1034" spans="1:9" x14ac:dyDescent="0.2">
      <c r="A1034">
        <v>315757</v>
      </c>
      <c r="B1034" t="s">
        <v>52</v>
      </c>
      <c r="C1034" t="s">
        <v>8</v>
      </c>
      <c r="D1034" t="s">
        <v>53</v>
      </c>
      <c r="E1034">
        <v>94</v>
      </c>
      <c r="F1034">
        <v>22.5</v>
      </c>
      <c r="G1034" t="s">
        <v>10</v>
      </c>
      <c r="H1034" t="e">
        <f t="shared" si="32"/>
        <v>#VALUE!</v>
      </c>
      <c r="I1034" t="str">
        <f t="shared" si="33"/>
        <v>-</v>
      </c>
    </row>
    <row r="1035" spans="1:9" x14ac:dyDescent="0.2">
      <c r="A1035">
        <v>315949</v>
      </c>
      <c r="B1035" t="s">
        <v>54</v>
      </c>
      <c r="C1035" t="s">
        <v>8</v>
      </c>
      <c r="D1035" t="s">
        <v>55</v>
      </c>
      <c r="E1035">
        <v>5</v>
      </c>
      <c r="F1035">
        <v>20</v>
      </c>
      <c r="G1035" t="s">
        <v>56</v>
      </c>
      <c r="H1035" t="e">
        <f t="shared" si="32"/>
        <v>#VALUE!</v>
      </c>
      <c r="I1035" t="str">
        <f t="shared" si="33"/>
        <v>-</v>
      </c>
    </row>
    <row r="1036" spans="1:9" x14ac:dyDescent="0.2">
      <c r="A1036">
        <v>316331</v>
      </c>
      <c r="B1036" t="s">
        <v>57</v>
      </c>
      <c r="C1036" t="s">
        <v>8</v>
      </c>
      <c r="D1036" t="s">
        <v>58</v>
      </c>
      <c r="E1036" t="s">
        <v>18</v>
      </c>
      <c r="F1036" t="s">
        <v>18</v>
      </c>
      <c r="G1036" t="s">
        <v>18</v>
      </c>
      <c r="H1036" t="e">
        <f t="shared" si="32"/>
        <v>#VALUE!</v>
      </c>
      <c r="I1036" t="str">
        <f t="shared" si="33"/>
        <v>-</v>
      </c>
    </row>
    <row r="1037" spans="1:9" x14ac:dyDescent="0.2">
      <c r="A1037">
        <v>316713</v>
      </c>
      <c r="B1037" t="s">
        <v>59</v>
      </c>
      <c r="C1037" t="s">
        <v>8</v>
      </c>
      <c r="D1037" t="s">
        <v>60</v>
      </c>
      <c r="E1037" t="s">
        <v>18</v>
      </c>
      <c r="F1037" t="s">
        <v>18</v>
      </c>
      <c r="G1037" t="s">
        <v>18</v>
      </c>
      <c r="H1037" t="e">
        <f t="shared" si="32"/>
        <v>#VALUE!</v>
      </c>
      <c r="I1037" t="str">
        <f t="shared" si="33"/>
        <v>-</v>
      </c>
    </row>
    <row r="1038" spans="1:9" x14ac:dyDescent="0.2">
      <c r="A1038">
        <v>317095</v>
      </c>
      <c r="B1038" t="s">
        <v>61</v>
      </c>
      <c r="C1038" t="s">
        <v>8</v>
      </c>
      <c r="D1038" t="s">
        <v>62</v>
      </c>
      <c r="E1038" t="s">
        <v>18</v>
      </c>
      <c r="F1038" t="s">
        <v>18</v>
      </c>
      <c r="G1038" t="s">
        <v>18</v>
      </c>
      <c r="H1038" t="e">
        <f t="shared" si="32"/>
        <v>#VALUE!</v>
      </c>
      <c r="I1038" t="str">
        <f t="shared" si="33"/>
        <v>-</v>
      </c>
    </row>
    <row r="1039" spans="1:9" x14ac:dyDescent="0.2">
      <c r="A1039">
        <v>317477</v>
      </c>
      <c r="B1039" t="s">
        <v>63</v>
      </c>
      <c r="C1039" t="s">
        <v>8</v>
      </c>
      <c r="D1039" t="s">
        <v>64</v>
      </c>
      <c r="E1039" t="s">
        <v>18</v>
      </c>
      <c r="F1039" t="s">
        <v>18</v>
      </c>
      <c r="G1039" t="s">
        <v>18</v>
      </c>
      <c r="H1039" t="e">
        <f t="shared" si="32"/>
        <v>#VALUE!</v>
      </c>
      <c r="I1039" t="str">
        <f t="shared" si="33"/>
        <v>-</v>
      </c>
    </row>
    <row r="1040" spans="1:9" x14ac:dyDescent="0.2">
      <c r="A1040">
        <v>317729</v>
      </c>
      <c r="B1040" t="s">
        <v>65</v>
      </c>
      <c r="C1040" t="s">
        <v>8</v>
      </c>
      <c r="D1040" t="s">
        <v>66</v>
      </c>
      <c r="E1040">
        <v>27500</v>
      </c>
      <c r="F1040">
        <v>3.36</v>
      </c>
      <c r="G1040" t="s">
        <v>67</v>
      </c>
      <c r="H1040" t="e">
        <f t="shared" si="32"/>
        <v>#VALUE!</v>
      </c>
      <c r="I1040" t="str">
        <f t="shared" si="33"/>
        <v>-</v>
      </c>
    </row>
    <row r="1041" spans="1:9" x14ac:dyDescent="0.2">
      <c r="A1041">
        <v>318101</v>
      </c>
      <c r="B1041" t="s">
        <v>68</v>
      </c>
      <c r="C1041" t="s">
        <v>8</v>
      </c>
      <c r="D1041" t="s">
        <v>69</v>
      </c>
      <c r="E1041" t="s">
        <v>18</v>
      </c>
      <c r="F1041" t="s">
        <v>18</v>
      </c>
      <c r="G1041" t="s">
        <v>18</v>
      </c>
      <c r="H1041" t="e">
        <f t="shared" si="32"/>
        <v>#VALUE!</v>
      </c>
      <c r="I1041" t="str">
        <f t="shared" si="33"/>
        <v>-</v>
      </c>
    </row>
    <row r="1042" spans="1:9" x14ac:dyDescent="0.2">
      <c r="A1042">
        <v>318303</v>
      </c>
      <c r="B1042" t="s">
        <v>7</v>
      </c>
      <c r="C1042" t="s">
        <v>8</v>
      </c>
      <c r="D1042" t="s">
        <v>9</v>
      </c>
      <c r="E1042">
        <v>163</v>
      </c>
      <c r="F1042">
        <v>103</v>
      </c>
      <c r="G1042" t="s">
        <v>10</v>
      </c>
      <c r="H1042" t="e">
        <f t="shared" si="32"/>
        <v>#VALUE!</v>
      </c>
      <c r="I1042" t="str">
        <f t="shared" si="33"/>
        <v>-</v>
      </c>
    </row>
    <row r="1043" spans="1:9" x14ac:dyDescent="0.2">
      <c r="A1043">
        <v>318485</v>
      </c>
      <c r="B1043" t="s">
        <v>11</v>
      </c>
      <c r="C1043" t="s">
        <v>8</v>
      </c>
      <c r="D1043" t="s">
        <v>12</v>
      </c>
      <c r="E1043">
        <v>203</v>
      </c>
      <c r="F1043">
        <v>104.25</v>
      </c>
      <c r="G1043" t="s">
        <v>10</v>
      </c>
      <c r="H1043" t="e">
        <f t="shared" si="32"/>
        <v>#VALUE!</v>
      </c>
      <c r="I1043" t="str">
        <f t="shared" si="33"/>
        <v>-</v>
      </c>
    </row>
    <row r="1044" spans="1:9" x14ac:dyDescent="0.2">
      <c r="A1044">
        <v>318697</v>
      </c>
      <c r="B1044" t="s">
        <v>13</v>
      </c>
      <c r="C1044" t="s">
        <v>8</v>
      </c>
      <c r="D1044" t="s">
        <v>14</v>
      </c>
      <c r="E1044">
        <v>26124</v>
      </c>
      <c r="F1044">
        <v>1020.47</v>
      </c>
      <c r="G1044" t="s">
        <v>15</v>
      </c>
      <c r="H1044" t="str">
        <f t="shared" si="32"/>
        <v>PSI</v>
      </c>
      <c r="I1044">
        <f t="shared" si="33"/>
        <v>14.800666022154658</v>
      </c>
    </row>
    <row r="1045" spans="1:9" x14ac:dyDescent="0.2">
      <c r="A1045">
        <v>319079</v>
      </c>
      <c r="B1045" t="s">
        <v>16</v>
      </c>
      <c r="C1045" t="s">
        <v>8</v>
      </c>
      <c r="D1045" t="s">
        <v>17</v>
      </c>
      <c r="E1045" t="s">
        <v>18</v>
      </c>
      <c r="F1045" t="s">
        <v>18</v>
      </c>
      <c r="G1045" t="s">
        <v>18</v>
      </c>
      <c r="H1045" t="e">
        <f t="shared" si="32"/>
        <v>#VALUE!</v>
      </c>
      <c r="I1045" t="str">
        <f t="shared" si="33"/>
        <v>-</v>
      </c>
    </row>
    <row r="1046" spans="1:9" x14ac:dyDescent="0.2">
      <c r="A1046">
        <v>319291</v>
      </c>
      <c r="B1046" t="s">
        <v>19</v>
      </c>
      <c r="C1046" t="s">
        <v>8</v>
      </c>
      <c r="D1046" t="s">
        <v>20</v>
      </c>
      <c r="E1046">
        <v>13696</v>
      </c>
      <c r="F1046">
        <v>1070</v>
      </c>
      <c r="G1046" t="s">
        <v>15</v>
      </c>
      <c r="H1046" t="str">
        <f t="shared" si="32"/>
        <v>PSI</v>
      </c>
      <c r="I1046">
        <f t="shared" si="33"/>
        <v>15.519037937132385</v>
      </c>
    </row>
    <row r="1047" spans="1:9" x14ac:dyDescent="0.2">
      <c r="A1047">
        <v>319503</v>
      </c>
      <c r="B1047" t="s">
        <v>21</v>
      </c>
      <c r="C1047" t="s">
        <v>8</v>
      </c>
      <c r="D1047" t="s">
        <v>22</v>
      </c>
      <c r="E1047">
        <v>6595</v>
      </c>
      <c r="F1047">
        <v>1648.75</v>
      </c>
      <c r="G1047" t="s">
        <v>23</v>
      </c>
      <c r="H1047" t="e">
        <f t="shared" si="32"/>
        <v>#VALUE!</v>
      </c>
      <c r="I1047" t="str">
        <f t="shared" si="33"/>
        <v>-</v>
      </c>
    </row>
    <row r="1048" spans="1:9" x14ac:dyDescent="0.2">
      <c r="A1048">
        <v>319695</v>
      </c>
      <c r="B1048" t="s">
        <v>24</v>
      </c>
      <c r="C1048" t="s">
        <v>8</v>
      </c>
      <c r="D1048" t="s">
        <v>25</v>
      </c>
      <c r="E1048">
        <v>3</v>
      </c>
      <c r="F1048">
        <v>3</v>
      </c>
      <c r="G1048" t="s">
        <v>26</v>
      </c>
      <c r="H1048" t="e">
        <f t="shared" si="32"/>
        <v>#VALUE!</v>
      </c>
      <c r="I1048" t="str">
        <f t="shared" si="33"/>
        <v>-</v>
      </c>
    </row>
    <row r="1049" spans="1:9" x14ac:dyDescent="0.2">
      <c r="A1049">
        <v>319916</v>
      </c>
      <c r="B1049" t="s">
        <v>27</v>
      </c>
      <c r="C1049" t="s">
        <v>8</v>
      </c>
      <c r="D1049" t="s">
        <v>28</v>
      </c>
      <c r="E1049">
        <v>599</v>
      </c>
      <c r="F1049">
        <v>14.07</v>
      </c>
      <c r="G1049" t="s">
        <v>29</v>
      </c>
      <c r="H1049" t="e">
        <f t="shared" si="32"/>
        <v>#VALUE!</v>
      </c>
      <c r="I1049" t="str">
        <f t="shared" si="33"/>
        <v>-</v>
      </c>
    </row>
    <row r="1050" spans="1:9" x14ac:dyDescent="0.2">
      <c r="A1050">
        <v>320128</v>
      </c>
      <c r="B1050" t="s">
        <v>30</v>
      </c>
      <c r="C1050" t="s">
        <v>8</v>
      </c>
      <c r="D1050" t="s">
        <v>31</v>
      </c>
      <c r="E1050">
        <v>4679</v>
      </c>
      <c r="F1050">
        <v>4679</v>
      </c>
      <c r="G1050" t="s">
        <v>15</v>
      </c>
      <c r="H1050" t="str">
        <f t="shared" si="32"/>
        <v>PSI</v>
      </c>
      <c r="I1050">
        <f t="shared" si="33"/>
        <v>67.863157483964883</v>
      </c>
    </row>
    <row r="1051" spans="1:9" x14ac:dyDescent="0.2">
      <c r="A1051">
        <v>320340</v>
      </c>
      <c r="B1051" t="s">
        <v>32</v>
      </c>
      <c r="C1051" t="s">
        <v>8</v>
      </c>
      <c r="D1051" t="s">
        <v>33</v>
      </c>
      <c r="E1051">
        <v>3782</v>
      </c>
      <c r="F1051">
        <v>0.92</v>
      </c>
      <c r="G1051" t="s">
        <v>26</v>
      </c>
      <c r="H1051" t="e">
        <f t="shared" si="32"/>
        <v>#VALUE!</v>
      </c>
      <c r="I1051" t="str">
        <f t="shared" si="33"/>
        <v>-</v>
      </c>
    </row>
    <row r="1052" spans="1:9" x14ac:dyDescent="0.2">
      <c r="A1052">
        <v>320552</v>
      </c>
      <c r="B1052" t="s">
        <v>34</v>
      </c>
      <c r="C1052" t="s">
        <v>8</v>
      </c>
      <c r="D1052" t="s">
        <v>35</v>
      </c>
      <c r="E1052">
        <v>3838</v>
      </c>
      <c r="F1052">
        <v>0.94</v>
      </c>
      <c r="G1052" t="s">
        <v>26</v>
      </c>
      <c r="H1052" t="e">
        <f t="shared" si="32"/>
        <v>#VALUE!</v>
      </c>
      <c r="I1052" t="str">
        <f t="shared" si="33"/>
        <v>-</v>
      </c>
    </row>
    <row r="1053" spans="1:9" x14ac:dyDescent="0.2">
      <c r="A1053">
        <v>320934</v>
      </c>
      <c r="B1053" t="s">
        <v>36</v>
      </c>
      <c r="C1053" t="s">
        <v>8</v>
      </c>
      <c r="D1053" t="s">
        <v>37</v>
      </c>
      <c r="E1053" t="s">
        <v>18</v>
      </c>
      <c r="F1053" t="s">
        <v>18</v>
      </c>
      <c r="G1053" t="s">
        <v>18</v>
      </c>
      <c r="H1053" t="e">
        <f t="shared" si="32"/>
        <v>#VALUE!</v>
      </c>
      <c r="I1053" t="str">
        <f t="shared" si="33"/>
        <v>-</v>
      </c>
    </row>
    <row r="1054" spans="1:9" x14ac:dyDescent="0.2">
      <c r="A1054">
        <v>321316</v>
      </c>
      <c r="B1054" t="s">
        <v>38</v>
      </c>
      <c r="C1054" t="s">
        <v>8</v>
      </c>
      <c r="D1054" t="s">
        <v>39</v>
      </c>
      <c r="E1054" t="s">
        <v>18</v>
      </c>
      <c r="F1054" t="s">
        <v>18</v>
      </c>
      <c r="G1054" t="s">
        <v>18</v>
      </c>
      <c r="H1054" t="e">
        <f t="shared" si="32"/>
        <v>#VALUE!</v>
      </c>
      <c r="I1054" t="str">
        <f t="shared" si="33"/>
        <v>-</v>
      </c>
    </row>
    <row r="1055" spans="1:9" x14ac:dyDescent="0.2">
      <c r="A1055">
        <v>321698</v>
      </c>
      <c r="B1055" t="s">
        <v>40</v>
      </c>
      <c r="C1055" t="s">
        <v>8</v>
      </c>
      <c r="D1055" t="s">
        <v>41</v>
      </c>
      <c r="E1055" t="s">
        <v>18</v>
      </c>
      <c r="F1055" t="s">
        <v>18</v>
      </c>
      <c r="G1055" t="s">
        <v>18</v>
      </c>
      <c r="H1055" t="e">
        <f t="shared" si="32"/>
        <v>#VALUE!</v>
      </c>
      <c r="I1055" t="str">
        <f t="shared" si="33"/>
        <v>-</v>
      </c>
    </row>
    <row r="1056" spans="1:9" x14ac:dyDescent="0.2">
      <c r="A1056">
        <v>321910</v>
      </c>
      <c r="B1056" t="s">
        <v>42</v>
      </c>
      <c r="C1056" t="s">
        <v>8</v>
      </c>
      <c r="D1056" t="s">
        <v>43</v>
      </c>
      <c r="E1056">
        <v>22136</v>
      </c>
      <c r="F1056">
        <v>11.07</v>
      </c>
      <c r="G1056" t="s">
        <v>44</v>
      </c>
      <c r="H1056" t="str">
        <f t="shared" si="32"/>
        <v>PSI</v>
      </c>
      <c r="I1056">
        <f t="shared" si="33"/>
        <v>1605.5677566734159</v>
      </c>
    </row>
    <row r="1057" spans="1:9" x14ac:dyDescent="0.2">
      <c r="A1057">
        <v>322102</v>
      </c>
      <c r="B1057" t="s">
        <v>45</v>
      </c>
      <c r="C1057" t="s">
        <v>8</v>
      </c>
      <c r="D1057" t="s">
        <v>46</v>
      </c>
      <c r="E1057">
        <v>1</v>
      </c>
      <c r="F1057">
        <v>1</v>
      </c>
      <c r="G1057" t="s">
        <v>15</v>
      </c>
      <c r="H1057" t="str">
        <f t="shared" si="32"/>
        <v>PSI</v>
      </c>
      <c r="I1057">
        <f t="shared" si="33"/>
        <v>1.4503773773020921E-2</v>
      </c>
    </row>
    <row r="1058" spans="1:9" x14ac:dyDescent="0.2">
      <c r="A1058">
        <v>322314</v>
      </c>
      <c r="B1058" t="s">
        <v>47</v>
      </c>
      <c r="C1058" t="s">
        <v>8</v>
      </c>
      <c r="D1058" t="s">
        <v>48</v>
      </c>
      <c r="E1058">
        <v>2882</v>
      </c>
      <c r="F1058">
        <v>288.2</v>
      </c>
      <c r="G1058" t="s">
        <v>49</v>
      </c>
      <c r="H1058" t="e">
        <f t="shared" si="32"/>
        <v>#VALUE!</v>
      </c>
      <c r="I1058" t="str">
        <f t="shared" si="33"/>
        <v>-</v>
      </c>
    </row>
    <row r="1059" spans="1:9" x14ac:dyDescent="0.2">
      <c r="A1059">
        <v>322526</v>
      </c>
      <c r="B1059" t="s">
        <v>50</v>
      </c>
      <c r="C1059" t="s">
        <v>8</v>
      </c>
      <c r="D1059" t="s">
        <v>51</v>
      </c>
      <c r="E1059">
        <v>48535</v>
      </c>
      <c r="F1059">
        <v>1895.9</v>
      </c>
      <c r="G1059" t="s">
        <v>15</v>
      </c>
      <c r="H1059" t="str">
        <f t="shared" si="32"/>
        <v>PSI</v>
      </c>
      <c r="I1059">
        <f t="shared" si="33"/>
        <v>27.497704696270365</v>
      </c>
    </row>
    <row r="1060" spans="1:9" x14ac:dyDescent="0.2">
      <c r="A1060">
        <v>322718</v>
      </c>
      <c r="B1060" t="s">
        <v>52</v>
      </c>
      <c r="C1060" t="s">
        <v>8</v>
      </c>
      <c r="D1060" t="s">
        <v>53</v>
      </c>
      <c r="E1060">
        <v>95</v>
      </c>
      <c r="F1060">
        <v>23.25</v>
      </c>
      <c r="G1060" t="s">
        <v>10</v>
      </c>
      <c r="H1060" t="e">
        <f t="shared" si="32"/>
        <v>#VALUE!</v>
      </c>
      <c r="I1060" t="str">
        <f t="shared" si="33"/>
        <v>-</v>
      </c>
    </row>
    <row r="1061" spans="1:9" x14ac:dyDescent="0.2">
      <c r="A1061">
        <v>322910</v>
      </c>
      <c r="B1061" t="s">
        <v>54</v>
      </c>
      <c r="C1061" t="s">
        <v>8</v>
      </c>
      <c r="D1061" t="s">
        <v>55</v>
      </c>
      <c r="E1061">
        <v>21</v>
      </c>
      <c r="F1061">
        <v>84</v>
      </c>
      <c r="G1061" t="s">
        <v>56</v>
      </c>
      <c r="H1061" t="e">
        <f t="shared" si="32"/>
        <v>#VALUE!</v>
      </c>
      <c r="I1061" t="str">
        <f t="shared" si="33"/>
        <v>-</v>
      </c>
    </row>
    <row r="1062" spans="1:9" x14ac:dyDescent="0.2">
      <c r="A1062">
        <v>323292</v>
      </c>
      <c r="B1062" t="s">
        <v>57</v>
      </c>
      <c r="C1062" t="s">
        <v>8</v>
      </c>
      <c r="D1062" t="s">
        <v>58</v>
      </c>
      <c r="E1062" t="s">
        <v>18</v>
      </c>
      <c r="F1062" t="s">
        <v>18</v>
      </c>
      <c r="G1062" t="s">
        <v>18</v>
      </c>
      <c r="H1062" t="e">
        <f t="shared" si="32"/>
        <v>#VALUE!</v>
      </c>
      <c r="I1062" t="str">
        <f t="shared" si="33"/>
        <v>-</v>
      </c>
    </row>
    <row r="1063" spans="1:9" x14ac:dyDescent="0.2">
      <c r="A1063">
        <v>323674</v>
      </c>
      <c r="B1063" t="s">
        <v>59</v>
      </c>
      <c r="C1063" t="s">
        <v>8</v>
      </c>
      <c r="D1063" t="s">
        <v>60</v>
      </c>
      <c r="E1063" t="s">
        <v>18</v>
      </c>
      <c r="F1063" t="s">
        <v>18</v>
      </c>
      <c r="G1063" t="s">
        <v>18</v>
      </c>
      <c r="H1063" t="e">
        <f t="shared" si="32"/>
        <v>#VALUE!</v>
      </c>
      <c r="I1063" t="str">
        <f t="shared" si="33"/>
        <v>-</v>
      </c>
    </row>
    <row r="1064" spans="1:9" x14ac:dyDescent="0.2">
      <c r="A1064">
        <v>324056</v>
      </c>
      <c r="B1064" t="s">
        <v>61</v>
      </c>
      <c r="C1064" t="s">
        <v>8</v>
      </c>
      <c r="D1064" t="s">
        <v>62</v>
      </c>
      <c r="E1064" t="s">
        <v>18</v>
      </c>
      <c r="F1064" t="s">
        <v>18</v>
      </c>
      <c r="G1064" t="s">
        <v>18</v>
      </c>
      <c r="H1064" t="e">
        <f t="shared" si="32"/>
        <v>#VALUE!</v>
      </c>
      <c r="I1064" t="str">
        <f t="shared" si="33"/>
        <v>-</v>
      </c>
    </row>
    <row r="1065" spans="1:9" x14ac:dyDescent="0.2">
      <c r="A1065">
        <v>324438</v>
      </c>
      <c r="B1065" t="s">
        <v>63</v>
      </c>
      <c r="C1065" t="s">
        <v>8</v>
      </c>
      <c r="D1065" t="s">
        <v>64</v>
      </c>
      <c r="E1065" t="s">
        <v>18</v>
      </c>
      <c r="F1065" t="s">
        <v>18</v>
      </c>
      <c r="G1065" t="s">
        <v>18</v>
      </c>
      <c r="H1065" t="e">
        <f t="shared" si="32"/>
        <v>#VALUE!</v>
      </c>
      <c r="I1065" t="str">
        <f t="shared" si="33"/>
        <v>-</v>
      </c>
    </row>
    <row r="1066" spans="1:9" x14ac:dyDescent="0.2">
      <c r="A1066">
        <v>324700</v>
      </c>
      <c r="B1066" t="s">
        <v>65</v>
      </c>
      <c r="C1066" t="s">
        <v>8</v>
      </c>
      <c r="D1066" t="s">
        <v>66</v>
      </c>
      <c r="E1066">
        <v>27754</v>
      </c>
      <c r="F1066">
        <v>3.39</v>
      </c>
      <c r="G1066" t="s">
        <v>67</v>
      </c>
      <c r="H1066" t="e">
        <f t="shared" si="32"/>
        <v>#VALUE!</v>
      </c>
      <c r="I1066" t="str">
        <f t="shared" si="33"/>
        <v>-</v>
      </c>
    </row>
    <row r="1067" spans="1:9" x14ac:dyDescent="0.2">
      <c r="A1067">
        <v>325082</v>
      </c>
      <c r="B1067" t="s">
        <v>68</v>
      </c>
      <c r="C1067" t="s">
        <v>8</v>
      </c>
      <c r="D1067" t="s">
        <v>69</v>
      </c>
      <c r="E1067" t="s">
        <v>18</v>
      </c>
      <c r="F1067" t="s">
        <v>18</v>
      </c>
      <c r="G1067" t="s">
        <v>18</v>
      </c>
      <c r="H1067" t="e">
        <f t="shared" si="32"/>
        <v>#VALUE!</v>
      </c>
      <c r="I1067" t="str">
        <f t="shared" si="33"/>
        <v>-</v>
      </c>
    </row>
    <row r="1068" spans="1:9" x14ac:dyDescent="0.2">
      <c r="A1068">
        <v>325274</v>
      </c>
      <c r="B1068" t="s">
        <v>7</v>
      </c>
      <c r="C1068" t="s">
        <v>8</v>
      </c>
      <c r="D1068" t="s">
        <v>9</v>
      </c>
      <c r="E1068">
        <v>164</v>
      </c>
      <c r="F1068">
        <v>104</v>
      </c>
      <c r="G1068" t="s">
        <v>10</v>
      </c>
      <c r="H1068" t="e">
        <f t="shared" si="32"/>
        <v>#VALUE!</v>
      </c>
      <c r="I1068" t="str">
        <f t="shared" si="33"/>
        <v>-</v>
      </c>
    </row>
    <row r="1069" spans="1:9" x14ac:dyDescent="0.2">
      <c r="A1069">
        <v>325467</v>
      </c>
      <c r="B1069" t="s">
        <v>11</v>
      </c>
      <c r="C1069" t="s">
        <v>8</v>
      </c>
      <c r="D1069" t="s">
        <v>12</v>
      </c>
      <c r="E1069">
        <v>202</v>
      </c>
      <c r="F1069">
        <v>103.5</v>
      </c>
      <c r="G1069" t="s">
        <v>10</v>
      </c>
      <c r="H1069" t="e">
        <f t="shared" si="32"/>
        <v>#VALUE!</v>
      </c>
      <c r="I1069" t="str">
        <f t="shared" si="33"/>
        <v>-</v>
      </c>
    </row>
    <row r="1070" spans="1:9" x14ac:dyDescent="0.2">
      <c r="A1070">
        <v>325679</v>
      </c>
      <c r="B1070" t="s">
        <v>13</v>
      </c>
      <c r="C1070" t="s">
        <v>8</v>
      </c>
      <c r="D1070" t="s">
        <v>14</v>
      </c>
      <c r="E1070">
        <v>26124</v>
      </c>
      <c r="F1070">
        <v>1020.47</v>
      </c>
      <c r="G1070" t="s">
        <v>15</v>
      </c>
      <c r="H1070" t="str">
        <f t="shared" si="32"/>
        <v>PSI</v>
      </c>
      <c r="I1070">
        <f t="shared" si="33"/>
        <v>14.800666022154658</v>
      </c>
    </row>
    <row r="1071" spans="1:9" x14ac:dyDescent="0.2">
      <c r="A1071">
        <v>326061</v>
      </c>
      <c r="B1071" t="s">
        <v>16</v>
      </c>
      <c r="C1071" t="s">
        <v>8</v>
      </c>
      <c r="D1071" t="s">
        <v>17</v>
      </c>
      <c r="E1071" t="s">
        <v>18</v>
      </c>
      <c r="F1071" t="s">
        <v>18</v>
      </c>
      <c r="G1071" t="s">
        <v>18</v>
      </c>
      <c r="H1071" t="e">
        <f t="shared" si="32"/>
        <v>#VALUE!</v>
      </c>
      <c r="I1071" t="str">
        <f t="shared" si="33"/>
        <v>-</v>
      </c>
    </row>
    <row r="1072" spans="1:9" x14ac:dyDescent="0.2">
      <c r="A1072">
        <v>326273</v>
      </c>
      <c r="B1072" t="s">
        <v>19</v>
      </c>
      <c r="C1072" t="s">
        <v>8</v>
      </c>
      <c r="D1072" t="s">
        <v>20</v>
      </c>
      <c r="E1072">
        <v>13775</v>
      </c>
      <c r="F1072">
        <v>1076.17</v>
      </c>
      <c r="G1072" t="s">
        <v>15</v>
      </c>
      <c r="H1072" t="str">
        <f t="shared" si="32"/>
        <v>PSI</v>
      </c>
      <c r="I1072">
        <f t="shared" si="33"/>
        <v>15.608526221311925</v>
      </c>
    </row>
    <row r="1073" spans="1:9" x14ac:dyDescent="0.2">
      <c r="A1073">
        <v>326475</v>
      </c>
      <c r="B1073" t="s">
        <v>21</v>
      </c>
      <c r="C1073" t="s">
        <v>8</v>
      </c>
      <c r="D1073" t="s">
        <v>22</v>
      </c>
      <c r="E1073">
        <v>12251</v>
      </c>
      <c r="F1073">
        <v>3062.75</v>
      </c>
      <c r="G1073" t="s">
        <v>23</v>
      </c>
      <c r="H1073" t="e">
        <f t="shared" si="32"/>
        <v>#VALUE!</v>
      </c>
      <c r="I1073" t="str">
        <f t="shared" si="33"/>
        <v>-</v>
      </c>
    </row>
    <row r="1074" spans="1:9" x14ac:dyDescent="0.2">
      <c r="A1074">
        <v>326667</v>
      </c>
      <c r="B1074" t="s">
        <v>24</v>
      </c>
      <c r="C1074" t="s">
        <v>8</v>
      </c>
      <c r="D1074" t="s">
        <v>25</v>
      </c>
      <c r="E1074">
        <v>4</v>
      </c>
      <c r="F1074">
        <v>4</v>
      </c>
      <c r="G1074" t="s">
        <v>26</v>
      </c>
      <c r="H1074" t="e">
        <f t="shared" si="32"/>
        <v>#VALUE!</v>
      </c>
      <c r="I1074" t="str">
        <f t="shared" si="33"/>
        <v>-</v>
      </c>
    </row>
    <row r="1075" spans="1:9" x14ac:dyDescent="0.2">
      <c r="A1075">
        <v>326879</v>
      </c>
      <c r="B1075" t="s">
        <v>27</v>
      </c>
      <c r="C1075" t="s">
        <v>8</v>
      </c>
      <c r="D1075" t="s">
        <v>28</v>
      </c>
      <c r="E1075">
        <v>600</v>
      </c>
      <c r="F1075">
        <v>14.09</v>
      </c>
      <c r="G1075" t="s">
        <v>29</v>
      </c>
      <c r="H1075" t="e">
        <f t="shared" si="32"/>
        <v>#VALUE!</v>
      </c>
      <c r="I1075" t="str">
        <f t="shared" si="33"/>
        <v>-</v>
      </c>
    </row>
    <row r="1076" spans="1:9" x14ac:dyDescent="0.2">
      <c r="A1076">
        <v>327091</v>
      </c>
      <c r="B1076" t="s">
        <v>30</v>
      </c>
      <c r="C1076" t="s">
        <v>8</v>
      </c>
      <c r="D1076" t="s">
        <v>31</v>
      </c>
      <c r="E1076">
        <v>3350</v>
      </c>
      <c r="F1076">
        <v>3350</v>
      </c>
      <c r="G1076" t="s">
        <v>15</v>
      </c>
      <c r="H1076" t="str">
        <f t="shared" si="32"/>
        <v>PSI</v>
      </c>
      <c r="I1076">
        <f t="shared" si="33"/>
        <v>48.587642139620087</v>
      </c>
    </row>
    <row r="1077" spans="1:9" x14ac:dyDescent="0.2">
      <c r="A1077">
        <v>327303</v>
      </c>
      <c r="B1077" t="s">
        <v>32</v>
      </c>
      <c r="C1077" t="s">
        <v>8</v>
      </c>
      <c r="D1077" t="s">
        <v>33</v>
      </c>
      <c r="E1077">
        <v>256</v>
      </c>
      <c r="F1077">
        <v>0.06</v>
      </c>
      <c r="G1077" t="s">
        <v>26</v>
      </c>
      <c r="H1077" t="e">
        <f t="shared" si="32"/>
        <v>#VALUE!</v>
      </c>
      <c r="I1077" t="str">
        <f t="shared" si="33"/>
        <v>-</v>
      </c>
    </row>
    <row r="1078" spans="1:9" x14ac:dyDescent="0.2">
      <c r="A1078">
        <v>327515</v>
      </c>
      <c r="B1078" t="s">
        <v>34</v>
      </c>
      <c r="C1078" t="s">
        <v>8</v>
      </c>
      <c r="D1078" t="s">
        <v>35</v>
      </c>
      <c r="E1078">
        <v>65299</v>
      </c>
      <c r="F1078">
        <v>15.94</v>
      </c>
      <c r="G1078" t="s">
        <v>26</v>
      </c>
      <c r="H1078" t="e">
        <f t="shared" si="32"/>
        <v>#VALUE!</v>
      </c>
      <c r="I1078" t="str">
        <f t="shared" si="33"/>
        <v>-</v>
      </c>
    </row>
    <row r="1079" spans="1:9" x14ac:dyDescent="0.2">
      <c r="A1079">
        <v>327897</v>
      </c>
      <c r="B1079" t="s">
        <v>36</v>
      </c>
      <c r="C1079" t="s">
        <v>8</v>
      </c>
      <c r="D1079" t="s">
        <v>37</v>
      </c>
      <c r="E1079" t="s">
        <v>18</v>
      </c>
      <c r="F1079" t="s">
        <v>18</v>
      </c>
      <c r="G1079" t="s">
        <v>18</v>
      </c>
      <c r="H1079" t="e">
        <f t="shared" si="32"/>
        <v>#VALUE!</v>
      </c>
      <c r="I1079" t="str">
        <f t="shared" si="33"/>
        <v>-</v>
      </c>
    </row>
    <row r="1080" spans="1:9" x14ac:dyDescent="0.2">
      <c r="A1080">
        <v>328279</v>
      </c>
      <c r="B1080" t="s">
        <v>38</v>
      </c>
      <c r="C1080" t="s">
        <v>8</v>
      </c>
      <c r="D1080" t="s">
        <v>39</v>
      </c>
      <c r="E1080" t="s">
        <v>18</v>
      </c>
      <c r="F1080" t="s">
        <v>18</v>
      </c>
      <c r="G1080" t="s">
        <v>18</v>
      </c>
      <c r="H1080" t="e">
        <f t="shared" si="32"/>
        <v>#VALUE!</v>
      </c>
      <c r="I1080" t="str">
        <f t="shared" si="33"/>
        <v>-</v>
      </c>
    </row>
    <row r="1081" spans="1:9" x14ac:dyDescent="0.2">
      <c r="A1081">
        <v>328661</v>
      </c>
      <c r="B1081" t="s">
        <v>40</v>
      </c>
      <c r="C1081" t="s">
        <v>8</v>
      </c>
      <c r="D1081" t="s">
        <v>41</v>
      </c>
      <c r="E1081" t="s">
        <v>18</v>
      </c>
      <c r="F1081" t="s">
        <v>18</v>
      </c>
      <c r="G1081" t="s">
        <v>18</v>
      </c>
      <c r="H1081" t="e">
        <f t="shared" si="32"/>
        <v>#VALUE!</v>
      </c>
      <c r="I1081" t="str">
        <f t="shared" si="33"/>
        <v>-</v>
      </c>
    </row>
    <row r="1082" spans="1:9" x14ac:dyDescent="0.2">
      <c r="A1082">
        <v>328873</v>
      </c>
      <c r="B1082" t="s">
        <v>42</v>
      </c>
      <c r="C1082" t="s">
        <v>8</v>
      </c>
      <c r="D1082" t="s">
        <v>43</v>
      </c>
      <c r="E1082">
        <v>5291</v>
      </c>
      <c r="F1082">
        <v>2.65</v>
      </c>
      <c r="G1082" t="s">
        <v>44</v>
      </c>
      <c r="H1082" t="str">
        <f t="shared" si="32"/>
        <v>PSI</v>
      </c>
      <c r="I1082">
        <f t="shared" si="33"/>
        <v>384.3500049850544</v>
      </c>
    </row>
    <row r="1083" spans="1:9" x14ac:dyDescent="0.2">
      <c r="A1083">
        <v>329065</v>
      </c>
      <c r="B1083" t="s">
        <v>45</v>
      </c>
      <c r="C1083" t="s">
        <v>8</v>
      </c>
      <c r="D1083" t="s">
        <v>46</v>
      </c>
      <c r="E1083">
        <v>1</v>
      </c>
      <c r="F1083">
        <v>1</v>
      </c>
      <c r="G1083" t="s">
        <v>15</v>
      </c>
      <c r="H1083" t="str">
        <f t="shared" si="32"/>
        <v>PSI</v>
      </c>
      <c r="I1083">
        <f t="shared" si="33"/>
        <v>1.4503773773020921E-2</v>
      </c>
    </row>
    <row r="1084" spans="1:9" x14ac:dyDescent="0.2">
      <c r="A1084">
        <v>329277</v>
      </c>
      <c r="B1084" t="s">
        <v>47</v>
      </c>
      <c r="C1084" t="s">
        <v>8</v>
      </c>
      <c r="D1084" t="s">
        <v>48</v>
      </c>
      <c r="E1084">
        <v>2952</v>
      </c>
      <c r="F1084">
        <v>295.2</v>
      </c>
      <c r="G1084" t="s">
        <v>49</v>
      </c>
      <c r="H1084" t="e">
        <f t="shared" si="32"/>
        <v>#VALUE!</v>
      </c>
      <c r="I1084" t="str">
        <f t="shared" si="33"/>
        <v>-</v>
      </c>
    </row>
    <row r="1085" spans="1:9" x14ac:dyDescent="0.2">
      <c r="A1085">
        <v>329489</v>
      </c>
      <c r="B1085" t="s">
        <v>50</v>
      </c>
      <c r="C1085" t="s">
        <v>8</v>
      </c>
      <c r="D1085" t="s">
        <v>51</v>
      </c>
      <c r="E1085">
        <v>25476</v>
      </c>
      <c r="F1085">
        <v>995.16</v>
      </c>
      <c r="G1085" t="s">
        <v>15</v>
      </c>
      <c r="H1085" t="str">
        <f t="shared" si="32"/>
        <v>PSI</v>
      </c>
      <c r="I1085">
        <f t="shared" si="33"/>
        <v>14.4335755079595</v>
      </c>
    </row>
    <row r="1086" spans="1:9" x14ac:dyDescent="0.2">
      <c r="A1086">
        <v>329681</v>
      </c>
      <c r="B1086" t="s">
        <v>52</v>
      </c>
      <c r="C1086" t="s">
        <v>8</v>
      </c>
      <c r="D1086" t="s">
        <v>53</v>
      </c>
      <c r="E1086">
        <v>96</v>
      </c>
      <c r="F1086">
        <v>24</v>
      </c>
      <c r="G1086" t="s">
        <v>10</v>
      </c>
      <c r="H1086" t="e">
        <f t="shared" si="32"/>
        <v>#VALUE!</v>
      </c>
      <c r="I1086" t="str">
        <f t="shared" si="33"/>
        <v>-</v>
      </c>
    </row>
    <row r="1087" spans="1:9" x14ac:dyDescent="0.2">
      <c r="A1087">
        <v>329863</v>
      </c>
      <c r="B1087" t="s">
        <v>54</v>
      </c>
      <c r="C1087" t="s">
        <v>8</v>
      </c>
      <c r="D1087" t="s">
        <v>55</v>
      </c>
      <c r="E1087">
        <v>5</v>
      </c>
      <c r="F1087">
        <v>20</v>
      </c>
      <c r="G1087" t="s">
        <v>56</v>
      </c>
      <c r="H1087" t="e">
        <f t="shared" si="32"/>
        <v>#VALUE!</v>
      </c>
      <c r="I1087" t="str">
        <f t="shared" si="33"/>
        <v>-</v>
      </c>
    </row>
    <row r="1088" spans="1:9" x14ac:dyDescent="0.2">
      <c r="A1088">
        <v>330235</v>
      </c>
      <c r="B1088" t="s">
        <v>57</v>
      </c>
      <c r="C1088" t="s">
        <v>8</v>
      </c>
      <c r="D1088" t="s">
        <v>58</v>
      </c>
      <c r="E1088" t="s">
        <v>18</v>
      </c>
      <c r="F1088" t="s">
        <v>18</v>
      </c>
      <c r="G1088" t="s">
        <v>18</v>
      </c>
      <c r="H1088" t="e">
        <f t="shared" si="32"/>
        <v>#VALUE!</v>
      </c>
      <c r="I1088" t="str">
        <f t="shared" si="33"/>
        <v>-</v>
      </c>
    </row>
    <row r="1089" spans="1:9" x14ac:dyDescent="0.2">
      <c r="A1089">
        <v>330617</v>
      </c>
      <c r="B1089" t="s">
        <v>59</v>
      </c>
      <c r="C1089" t="s">
        <v>8</v>
      </c>
      <c r="D1089" t="s">
        <v>60</v>
      </c>
      <c r="E1089" t="s">
        <v>18</v>
      </c>
      <c r="F1089" t="s">
        <v>18</v>
      </c>
      <c r="G1089" t="s">
        <v>18</v>
      </c>
      <c r="H1089" t="e">
        <f t="shared" si="32"/>
        <v>#VALUE!</v>
      </c>
      <c r="I1089" t="str">
        <f t="shared" si="33"/>
        <v>-</v>
      </c>
    </row>
    <row r="1090" spans="1:9" x14ac:dyDescent="0.2">
      <c r="A1090">
        <v>330999</v>
      </c>
      <c r="B1090" t="s">
        <v>61</v>
      </c>
      <c r="C1090" t="s">
        <v>8</v>
      </c>
      <c r="D1090" t="s">
        <v>62</v>
      </c>
      <c r="E1090" t="s">
        <v>18</v>
      </c>
      <c r="F1090" t="s">
        <v>18</v>
      </c>
      <c r="G1090" t="s">
        <v>18</v>
      </c>
      <c r="H1090" t="e">
        <f t="shared" si="32"/>
        <v>#VALUE!</v>
      </c>
      <c r="I1090" t="str">
        <f t="shared" si="33"/>
        <v>-</v>
      </c>
    </row>
    <row r="1091" spans="1:9" x14ac:dyDescent="0.2">
      <c r="A1091">
        <v>331381</v>
      </c>
      <c r="B1091" t="s">
        <v>63</v>
      </c>
      <c r="C1091" t="s">
        <v>8</v>
      </c>
      <c r="D1091" t="s">
        <v>64</v>
      </c>
      <c r="E1091" t="s">
        <v>18</v>
      </c>
      <c r="F1091" t="s">
        <v>18</v>
      </c>
      <c r="G1091" t="s">
        <v>18</v>
      </c>
      <c r="H1091" t="e">
        <f t="shared" ref="H1091:H1154" si="34">IF(FIND("Pa",G1091,1),"PSI","-")</f>
        <v>#VALUE!</v>
      </c>
      <c r="I1091" t="str">
        <f t="shared" ref="I1091:I1154" si="35">IF(G1091="hPa",CONVERT(F1091*100,"Pa","psi"), IF(G1091="MPa",CONVERT(F1091*1000000,"Pa","psi"),"-"))</f>
        <v>-</v>
      </c>
    </row>
    <row r="1092" spans="1:9" x14ac:dyDescent="0.2">
      <c r="A1092">
        <v>331633</v>
      </c>
      <c r="B1092" t="s">
        <v>65</v>
      </c>
      <c r="C1092" t="s">
        <v>8</v>
      </c>
      <c r="D1092" t="s">
        <v>66</v>
      </c>
      <c r="E1092">
        <v>27756</v>
      </c>
      <c r="F1092">
        <v>3.39</v>
      </c>
      <c r="G1092" t="s">
        <v>67</v>
      </c>
      <c r="H1092" t="e">
        <f t="shared" si="34"/>
        <v>#VALUE!</v>
      </c>
      <c r="I1092" t="str">
        <f t="shared" si="35"/>
        <v>-</v>
      </c>
    </row>
    <row r="1093" spans="1:9" x14ac:dyDescent="0.2">
      <c r="A1093">
        <v>332015</v>
      </c>
      <c r="B1093" t="s">
        <v>68</v>
      </c>
      <c r="C1093" t="s">
        <v>8</v>
      </c>
      <c r="D1093" t="s">
        <v>69</v>
      </c>
      <c r="E1093" t="s">
        <v>18</v>
      </c>
      <c r="F1093" t="s">
        <v>18</v>
      </c>
      <c r="G1093" t="s">
        <v>18</v>
      </c>
      <c r="H1093" t="e">
        <f t="shared" si="34"/>
        <v>#VALUE!</v>
      </c>
      <c r="I1093" t="str">
        <f t="shared" si="35"/>
        <v>-</v>
      </c>
    </row>
    <row r="1094" spans="1:9" x14ac:dyDescent="0.2">
      <c r="A1094">
        <v>332227</v>
      </c>
      <c r="B1094" t="s">
        <v>7</v>
      </c>
      <c r="C1094" t="s">
        <v>8</v>
      </c>
      <c r="D1094" t="s">
        <v>9</v>
      </c>
      <c r="E1094">
        <v>164</v>
      </c>
      <c r="F1094">
        <v>104</v>
      </c>
      <c r="G1094" t="s">
        <v>10</v>
      </c>
      <c r="H1094" t="e">
        <f t="shared" si="34"/>
        <v>#VALUE!</v>
      </c>
      <c r="I1094" t="str">
        <f t="shared" si="35"/>
        <v>-</v>
      </c>
    </row>
    <row r="1095" spans="1:9" x14ac:dyDescent="0.2">
      <c r="A1095">
        <v>332419</v>
      </c>
      <c r="B1095" t="s">
        <v>11</v>
      </c>
      <c r="C1095" t="s">
        <v>8</v>
      </c>
      <c r="D1095" t="s">
        <v>12</v>
      </c>
      <c r="E1095">
        <v>191</v>
      </c>
      <c r="F1095">
        <v>95.25</v>
      </c>
      <c r="G1095" t="s">
        <v>10</v>
      </c>
      <c r="H1095" t="e">
        <f t="shared" si="34"/>
        <v>#VALUE!</v>
      </c>
      <c r="I1095" t="str">
        <f t="shared" si="35"/>
        <v>-</v>
      </c>
    </row>
    <row r="1096" spans="1:9" x14ac:dyDescent="0.2">
      <c r="A1096">
        <v>332631</v>
      </c>
      <c r="B1096" t="s">
        <v>13</v>
      </c>
      <c r="C1096" t="s">
        <v>8</v>
      </c>
      <c r="D1096" t="s">
        <v>14</v>
      </c>
      <c r="E1096">
        <v>26092</v>
      </c>
      <c r="F1096">
        <v>1019.22</v>
      </c>
      <c r="G1096" t="s">
        <v>15</v>
      </c>
      <c r="H1096" t="str">
        <f t="shared" si="34"/>
        <v>PSI</v>
      </c>
      <c r="I1096">
        <f t="shared" si="35"/>
        <v>14.782536304938382</v>
      </c>
    </row>
    <row r="1097" spans="1:9" x14ac:dyDescent="0.2">
      <c r="A1097">
        <v>333013</v>
      </c>
      <c r="B1097" t="s">
        <v>16</v>
      </c>
      <c r="C1097" t="s">
        <v>8</v>
      </c>
      <c r="D1097" t="s">
        <v>17</v>
      </c>
      <c r="E1097" t="s">
        <v>18</v>
      </c>
      <c r="F1097" t="s">
        <v>18</v>
      </c>
      <c r="G1097" t="s">
        <v>18</v>
      </c>
      <c r="H1097" t="e">
        <f t="shared" si="34"/>
        <v>#VALUE!</v>
      </c>
      <c r="I1097" t="str">
        <f t="shared" si="35"/>
        <v>-</v>
      </c>
    </row>
    <row r="1098" spans="1:9" x14ac:dyDescent="0.2">
      <c r="A1098">
        <v>333225</v>
      </c>
      <c r="B1098" t="s">
        <v>19</v>
      </c>
      <c r="C1098" t="s">
        <v>8</v>
      </c>
      <c r="D1098" t="s">
        <v>20</v>
      </c>
      <c r="E1098">
        <v>13504</v>
      </c>
      <c r="F1098">
        <v>1055</v>
      </c>
      <c r="G1098" t="s">
        <v>15</v>
      </c>
      <c r="H1098" t="str">
        <f t="shared" si="34"/>
        <v>PSI</v>
      </c>
      <c r="I1098">
        <f t="shared" si="35"/>
        <v>15.301481330537072</v>
      </c>
    </row>
    <row r="1099" spans="1:9" x14ac:dyDescent="0.2">
      <c r="A1099">
        <v>333437</v>
      </c>
      <c r="B1099" t="s">
        <v>21</v>
      </c>
      <c r="C1099" t="s">
        <v>8</v>
      </c>
      <c r="D1099" t="s">
        <v>22</v>
      </c>
      <c r="E1099">
        <v>8973</v>
      </c>
      <c r="F1099">
        <v>2243.25</v>
      </c>
      <c r="G1099" t="s">
        <v>23</v>
      </c>
      <c r="H1099" t="e">
        <f t="shared" si="34"/>
        <v>#VALUE!</v>
      </c>
      <c r="I1099" t="str">
        <f t="shared" si="35"/>
        <v>-</v>
      </c>
    </row>
    <row r="1100" spans="1:9" x14ac:dyDescent="0.2">
      <c r="A1100">
        <v>333629</v>
      </c>
      <c r="B1100" t="s">
        <v>24</v>
      </c>
      <c r="C1100" t="s">
        <v>8</v>
      </c>
      <c r="D1100" t="s">
        <v>25</v>
      </c>
      <c r="E1100">
        <v>4</v>
      </c>
      <c r="F1100">
        <v>4</v>
      </c>
      <c r="G1100" t="s">
        <v>26</v>
      </c>
      <c r="H1100" t="e">
        <f t="shared" si="34"/>
        <v>#VALUE!</v>
      </c>
      <c r="I1100" t="str">
        <f t="shared" si="35"/>
        <v>-</v>
      </c>
    </row>
    <row r="1101" spans="1:9" x14ac:dyDescent="0.2">
      <c r="A1101">
        <v>333841</v>
      </c>
      <c r="B1101" t="s">
        <v>27</v>
      </c>
      <c r="C1101" t="s">
        <v>8</v>
      </c>
      <c r="D1101" t="s">
        <v>28</v>
      </c>
      <c r="E1101">
        <v>604</v>
      </c>
      <c r="F1101">
        <v>14.18</v>
      </c>
      <c r="G1101" t="s">
        <v>29</v>
      </c>
      <c r="H1101" t="e">
        <f t="shared" si="34"/>
        <v>#VALUE!</v>
      </c>
      <c r="I1101" t="str">
        <f t="shared" si="35"/>
        <v>-</v>
      </c>
    </row>
    <row r="1102" spans="1:9" x14ac:dyDescent="0.2">
      <c r="A1102">
        <v>334043</v>
      </c>
      <c r="B1102" t="s">
        <v>30</v>
      </c>
      <c r="C1102" t="s">
        <v>8</v>
      </c>
      <c r="D1102" t="s">
        <v>31</v>
      </c>
      <c r="E1102">
        <v>2714</v>
      </c>
      <c r="F1102">
        <v>2714</v>
      </c>
      <c r="G1102" t="s">
        <v>15</v>
      </c>
      <c r="H1102" t="str">
        <f t="shared" si="34"/>
        <v>PSI</v>
      </c>
      <c r="I1102">
        <f t="shared" si="35"/>
        <v>39.363242019978777</v>
      </c>
    </row>
    <row r="1103" spans="1:9" x14ac:dyDescent="0.2">
      <c r="A1103">
        <v>334285</v>
      </c>
      <c r="B1103" t="s">
        <v>32</v>
      </c>
      <c r="C1103" t="s">
        <v>8</v>
      </c>
      <c r="D1103" t="s">
        <v>33</v>
      </c>
      <c r="E1103">
        <v>11547</v>
      </c>
      <c r="F1103">
        <v>2.82</v>
      </c>
      <c r="G1103" t="s">
        <v>26</v>
      </c>
      <c r="H1103" t="e">
        <f t="shared" si="34"/>
        <v>#VALUE!</v>
      </c>
      <c r="I1103" t="str">
        <f t="shared" si="35"/>
        <v>-</v>
      </c>
    </row>
    <row r="1104" spans="1:9" x14ac:dyDescent="0.2">
      <c r="A1104">
        <v>334497</v>
      </c>
      <c r="B1104" t="s">
        <v>34</v>
      </c>
      <c r="C1104" t="s">
        <v>8</v>
      </c>
      <c r="D1104" t="s">
        <v>35</v>
      </c>
      <c r="E1104">
        <v>4221</v>
      </c>
      <c r="F1104">
        <v>1.03</v>
      </c>
      <c r="G1104" t="s">
        <v>26</v>
      </c>
      <c r="H1104" t="e">
        <f t="shared" si="34"/>
        <v>#VALUE!</v>
      </c>
      <c r="I1104" t="str">
        <f t="shared" si="35"/>
        <v>-</v>
      </c>
    </row>
    <row r="1105" spans="1:9" x14ac:dyDescent="0.2">
      <c r="A1105">
        <v>334879</v>
      </c>
      <c r="B1105" t="s">
        <v>36</v>
      </c>
      <c r="C1105" t="s">
        <v>8</v>
      </c>
      <c r="D1105" t="s">
        <v>37</v>
      </c>
      <c r="E1105" t="s">
        <v>18</v>
      </c>
      <c r="F1105" t="s">
        <v>18</v>
      </c>
      <c r="G1105" t="s">
        <v>18</v>
      </c>
      <c r="H1105" t="e">
        <f t="shared" si="34"/>
        <v>#VALUE!</v>
      </c>
      <c r="I1105" t="str">
        <f t="shared" si="35"/>
        <v>-</v>
      </c>
    </row>
    <row r="1106" spans="1:9" x14ac:dyDescent="0.2">
      <c r="A1106">
        <v>335261</v>
      </c>
      <c r="B1106" t="s">
        <v>38</v>
      </c>
      <c r="C1106" t="s">
        <v>8</v>
      </c>
      <c r="D1106" t="s">
        <v>39</v>
      </c>
      <c r="E1106" t="s">
        <v>18</v>
      </c>
      <c r="F1106" t="s">
        <v>18</v>
      </c>
      <c r="G1106" t="s">
        <v>18</v>
      </c>
      <c r="H1106" t="e">
        <f t="shared" si="34"/>
        <v>#VALUE!</v>
      </c>
      <c r="I1106" t="str">
        <f t="shared" si="35"/>
        <v>-</v>
      </c>
    </row>
    <row r="1107" spans="1:9" x14ac:dyDescent="0.2">
      <c r="A1107">
        <v>335633</v>
      </c>
      <c r="B1107" t="s">
        <v>40</v>
      </c>
      <c r="C1107" t="s">
        <v>8</v>
      </c>
      <c r="D1107" t="s">
        <v>41</v>
      </c>
      <c r="E1107" t="s">
        <v>18</v>
      </c>
      <c r="F1107" t="s">
        <v>18</v>
      </c>
      <c r="G1107" t="s">
        <v>18</v>
      </c>
      <c r="H1107" t="e">
        <f t="shared" si="34"/>
        <v>#VALUE!</v>
      </c>
      <c r="I1107" t="str">
        <f t="shared" si="35"/>
        <v>-</v>
      </c>
    </row>
    <row r="1108" spans="1:9" x14ac:dyDescent="0.2">
      <c r="A1108">
        <v>335846</v>
      </c>
      <c r="B1108" t="s">
        <v>42</v>
      </c>
      <c r="C1108" t="s">
        <v>8</v>
      </c>
      <c r="D1108" t="s">
        <v>43</v>
      </c>
      <c r="E1108">
        <v>11181</v>
      </c>
      <c r="F1108">
        <v>5.59</v>
      </c>
      <c r="G1108" t="s">
        <v>44</v>
      </c>
      <c r="H1108" t="str">
        <f t="shared" si="34"/>
        <v>PSI</v>
      </c>
      <c r="I1108">
        <f t="shared" si="35"/>
        <v>810.76095391186948</v>
      </c>
    </row>
    <row r="1109" spans="1:9" x14ac:dyDescent="0.2">
      <c r="A1109">
        <v>336068</v>
      </c>
      <c r="B1109" t="s">
        <v>45</v>
      </c>
      <c r="C1109" t="s">
        <v>8</v>
      </c>
      <c r="D1109" t="s">
        <v>46</v>
      </c>
      <c r="E1109">
        <v>6</v>
      </c>
      <c r="F1109">
        <v>6</v>
      </c>
      <c r="G1109" t="s">
        <v>15</v>
      </c>
      <c r="H1109" t="str">
        <f t="shared" si="34"/>
        <v>PSI</v>
      </c>
      <c r="I1109">
        <f t="shared" si="35"/>
        <v>8.7022642638125522E-2</v>
      </c>
    </row>
    <row r="1110" spans="1:9" x14ac:dyDescent="0.2">
      <c r="A1110">
        <v>336300</v>
      </c>
      <c r="B1110" t="s">
        <v>47</v>
      </c>
      <c r="C1110" t="s">
        <v>8</v>
      </c>
      <c r="D1110" t="s">
        <v>48</v>
      </c>
      <c r="E1110">
        <v>3022</v>
      </c>
      <c r="F1110">
        <v>302.2</v>
      </c>
      <c r="G1110" t="s">
        <v>49</v>
      </c>
      <c r="H1110" t="e">
        <f t="shared" si="34"/>
        <v>#VALUE!</v>
      </c>
      <c r="I1110" t="str">
        <f t="shared" si="35"/>
        <v>-</v>
      </c>
    </row>
    <row r="1111" spans="1:9" x14ac:dyDescent="0.2">
      <c r="A1111">
        <v>336522</v>
      </c>
      <c r="B1111" t="s">
        <v>50</v>
      </c>
      <c r="C1111" t="s">
        <v>8</v>
      </c>
      <c r="D1111" t="s">
        <v>51</v>
      </c>
      <c r="E1111">
        <v>24874</v>
      </c>
      <c r="F1111">
        <v>971.64</v>
      </c>
      <c r="G1111" t="s">
        <v>15</v>
      </c>
      <c r="H1111" t="str">
        <f t="shared" si="34"/>
        <v>PSI</v>
      </c>
      <c r="I1111">
        <f t="shared" si="35"/>
        <v>14.092446748818048</v>
      </c>
    </row>
    <row r="1112" spans="1:9" x14ac:dyDescent="0.2">
      <c r="A1112">
        <v>336734</v>
      </c>
      <c r="B1112" t="s">
        <v>52</v>
      </c>
      <c r="C1112" t="s">
        <v>8</v>
      </c>
      <c r="D1112" t="s">
        <v>53</v>
      </c>
      <c r="E1112">
        <v>96</v>
      </c>
      <c r="F1112">
        <v>24</v>
      </c>
      <c r="G1112" t="s">
        <v>10</v>
      </c>
      <c r="H1112" t="e">
        <f t="shared" si="34"/>
        <v>#VALUE!</v>
      </c>
      <c r="I1112" t="str">
        <f t="shared" si="35"/>
        <v>-</v>
      </c>
    </row>
    <row r="1113" spans="1:9" x14ac:dyDescent="0.2">
      <c r="A1113">
        <v>336926</v>
      </c>
      <c r="B1113" t="s">
        <v>54</v>
      </c>
      <c r="C1113" t="s">
        <v>8</v>
      </c>
      <c r="D1113" t="s">
        <v>55</v>
      </c>
      <c r="E1113">
        <v>4</v>
      </c>
      <c r="F1113">
        <v>16</v>
      </c>
      <c r="G1113" t="s">
        <v>56</v>
      </c>
      <c r="H1113" t="e">
        <f t="shared" si="34"/>
        <v>#VALUE!</v>
      </c>
      <c r="I1113" t="str">
        <f t="shared" si="35"/>
        <v>-</v>
      </c>
    </row>
    <row r="1114" spans="1:9" x14ac:dyDescent="0.2">
      <c r="A1114">
        <v>337308</v>
      </c>
      <c r="B1114" t="s">
        <v>57</v>
      </c>
      <c r="C1114" t="s">
        <v>8</v>
      </c>
      <c r="D1114" t="s">
        <v>58</v>
      </c>
      <c r="E1114" t="s">
        <v>18</v>
      </c>
      <c r="F1114" t="s">
        <v>18</v>
      </c>
      <c r="G1114" t="s">
        <v>18</v>
      </c>
      <c r="H1114" t="e">
        <f t="shared" si="34"/>
        <v>#VALUE!</v>
      </c>
      <c r="I1114" t="str">
        <f t="shared" si="35"/>
        <v>-</v>
      </c>
    </row>
    <row r="1115" spans="1:9" x14ac:dyDescent="0.2">
      <c r="A1115">
        <v>337690</v>
      </c>
      <c r="B1115" t="s">
        <v>59</v>
      </c>
      <c r="C1115" t="s">
        <v>8</v>
      </c>
      <c r="D1115" t="s">
        <v>60</v>
      </c>
      <c r="E1115" t="s">
        <v>18</v>
      </c>
      <c r="F1115" t="s">
        <v>18</v>
      </c>
      <c r="G1115" t="s">
        <v>18</v>
      </c>
      <c r="H1115" t="e">
        <f t="shared" si="34"/>
        <v>#VALUE!</v>
      </c>
      <c r="I1115" t="str">
        <f t="shared" si="35"/>
        <v>-</v>
      </c>
    </row>
    <row r="1116" spans="1:9" x14ac:dyDescent="0.2">
      <c r="A1116">
        <v>338072</v>
      </c>
      <c r="B1116" t="s">
        <v>61</v>
      </c>
      <c r="C1116" t="s">
        <v>8</v>
      </c>
      <c r="D1116" t="s">
        <v>62</v>
      </c>
      <c r="E1116" t="s">
        <v>18</v>
      </c>
      <c r="F1116" t="s">
        <v>18</v>
      </c>
      <c r="G1116" t="s">
        <v>18</v>
      </c>
      <c r="H1116" t="e">
        <f t="shared" si="34"/>
        <v>#VALUE!</v>
      </c>
      <c r="I1116" t="str">
        <f t="shared" si="35"/>
        <v>-</v>
      </c>
    </row>
    <row r="1117" spans="1:9" x14ac:dyDescent="0.2">
      <c r="A1117">
        <v>338454</v>
      </c>
      <c r="B1117" t="s">
        <v>63</v>
      </c>
      <c r="C1117" t="s">
        <v>8</v>
      </c>
      <c r="D1117" t="s">
        <v>64</v>
      </c>
      <c r="E1117" t="s">
        <v>18</v>
      </c>
      <c r="F1117" t="s">
        <v>18</v>
      </c>
      <c r="G1117" t="s">
        <v>18</v>
      </c>
      <c r="H1117" t="e">
        <f t="shared" si="34"/>
        <v>#VALUE!</v>
      </c>
      <c r="I1117" t="str">
        <f t="shared" si="35"/>
        <v>-</v>
      </c>
    </row>
    <row r="1118" spans="1:9" x14ac:dyDescent="0.2">
      <c r="A1118">
        <v>338706</v>
      </c>
      <c r="B1118" t="s">
        <v>65</v>
      </c>
      <c r="C1118" t="s">
        <v>8</v>
      </c>
      <c r="D1118" t="s">
        <v>66</v>
      </c>
      <c r="E1118">
        <v>27768</v>
      </c>
      <c r="F1118">
        <v>3.39</v>
      </c>
      <c r="G1118" t="s">
        <v>67</v>
      </c>
      <c r="H1118" t="e">
        <f t="shared" si="34"/>
        <v>#VALUE!</v>
      </c>
      <c r="I1118" t="str">
        <f t="shared" si="35"/>
        <v>-</v>
      </c>
    </row>
    <row r="1119" spans="1:9" x14ac:dyDescent="0.2">
      <c r="A1119">
        <v>339089</v>
      </c>
      <c r="B1119" t="s">
        <v>68</v>
      </c>
      <c r="C1119" t="s">
        <v>8</v>
      </c>
      <c r="D1119" t="s">
        <v>69</v>
      </c>
      <c r="E1119" t="s">
        <v>18</v>
      </c>
      <c r="F1119" t="s">
        <v>18</v>
      </c>
      <c r="G1119" t="s">
        <v>18</v>
      </c>
      <c r="H1119" t="e">
        <f t="shared" si="34"/>
        <v>#VALUE!</v>
      </c>
      <c r="I1119" t="str">
        <f t="shared" si="35"/>
        <v>-</v>
      </c>
    </row>
    <row r="1120" spans="1:9" x14ac:dyDescent="0.2">
      <c r="A1120">
        <v>339301</v>
      </c>
      <c r="B1120" t="s">
        <v>7</v>
      </c>
      <c r="C1120" t="s">
        <v>8</v>
      </c>
      <c r="D1120" t="s">
        <v>9</v>
      </c>
      <c r="E1120">
        <v>163</v>
      </c>
      <c r="F1120">
        <v>103</v>
      </c>
      <c r="G1120" t="s">
        <v>10</v>
      </c>
      <c r="H1120" t="e">
        <f t="shared" si="34"/>
        <v>#VALUE!</v>
      </c>
      <c r="I1120" t="str">
        <f t="shared" si="35"/>
        <v>-</v>
      </c>
    </row>
    <row r="1121" spans="1:9" x14ac:dyDescent="0.2">
      <c r="A1121">
        <v>339503</v>
      </c>
      <c r="B1121" t="s">
        <v>11</v>
      </c>
      <c r="C1121" t="s">
        <v>8</v>
      </c>
      <c r="D1121" t="s">
        <v>12</v>
      </c>
      <c r="E1121">
        <v>190</v>
      </c>
      <c r="F1121">
        <v>94.5</v>
      </c>
      <c r="G1121" t="s">
        <v>10</v>
      </c>
      <c r="H1121" t="e">
        <f t="shared" si="34"/>
        <v>#VALUE!</v>
      </c>
      <c r="I1121" t="str">
        <f t="shared" si="35"/>
        <v>-</v>
      </c>
    </row>
    <row r="1122" spans="1:9" x14ac:dyDescent="0.2">
      <c r="A1122">
        <v>339715</v>
      </c>
      <c r="B1122" t="s">
        <v>13</v>
      </c>
      <c r="C1122" t="s">
        <v>8</v>
      </c>
      <c r="D1122" t="s">
        <v>14</v>
      </c>
      <c r="E1122">
        <v>26124</v>
      </c>
      <c r="F1122">
        <v>1020.47</v>
      </c>
      <c r="G1122" t="s">
        <v>15</v>
      </c>
      <c r="H1122" t="str">
        <f t="shared" si="34"/>
        <v>PSI</v>
      </c>
      <c r="I1122">
        <f t="shared" si="35"/>
        <v>14.800666022154658</v>
      </c>
    </row>
    <row r="1123" spans="1:9" x14ac:dyDescent="0.2">
      <c r="A1123">
        <v>340097</v>
      </c>
      <c r="B1123" t="s">
        <v>16</v>
      </c>
      <c r="C1123" t="s">
        <v>8</v>
      </c>
      <c r="D1123" t="s">
        <v>17</v>
      </c>
      <c r="E1123" t="s">
        <v>18</v>
      </c>
      <c r="F1123" t="s">
        <v>18</v>
      </c>
      <c r="G1123" t="s">
        <v>18</v>
      </c>
      <c r="H1123" t="e">
        <f t="shared" si="34"/>
        <v>#VALUE!</v>
      </c>
      <c r="I1123" t="str">
        <f t="shared" si="35"/>
        <v>-</v>
      </c>
    </row>
    <row r="1124" spans="1:9" x14ac:dyDescent="0.2">
      <c r="A1124">
        <v>340318</v>
      </c>
      <c r="B1124" t="s">
        <v>19</v>
      </c>
      <c r="C1124" t="s">
        <v>8</v>
      </c>
      <c r="D1124" t="s">
        <v>20</v>
      </c>
      <c r="E1124">
        <v>16704</v>
      </c>
      <c r="F1124">
        <v>1305</v>
      </c>
      <c r="G1124" t="s">
        <v>15</v>
      </c>
      <c r="H1124" t="str">
        <f t="shared" si="34"/>
        <v>PSI</v>
      </c>
      <c r="I1124">
        <f t="shared" si="35"/>
        <v>18.927424773792303</v>
      </c>
    </row>
    <row r="1125" spans="1:9" x14ac:dyDescent="0.2">
      <c r="A1125">
        <v>340530</v>
      </c>
      <c r="B1125" t="s">
        <v>21</v>
      </c>
      <c r="C1125" t="s">
        <v>8</v>
      </c>
      <c r="D1125" t="s">
        <v>22</v>
      </c>
      <c r="E1125">
        <v>11789</v>
      </c>
      <c r="F1125">
        <v>2947.25</v>
      </c>
      <c r="G1125" t="s">
        <v>23</v>
      </c>
      <c r="H1125" t="e">
        <f t="shared" si="34"/>
        <v>#VALUE!</v>
      </c>
      <c r="I1125" t="str">
        <f t="shared" si="35"/>
        <v>-</v>
      </c>
    </row>
    <row r="1126" spans="1:9" x14ac:dyDescent="0.2">
      <c r="A1126">
        <v>340722</v>
      </c>
      <c r="B1126" t="s">
        <v>24</v>
      </c>
      <c r="C1126" t="s">
        <v>8</v>
      </c>
      <c r="D1126" t="s">
        <v>25</v>
      </c>
      <c r="E1126">
        <v>3</v>
      </c>
      <c r="F1126">
        <v>3</v>
      </c>
      <c r="G1126" t="s">
        <v>26</v>
      </c>
      <c r="H1126" t="e">
        <f t="shared" si="34"/>
        <v>#VALUE!</v>
      </c>
      <c r="I1126" t="str">
        <f t="shared" si="35"/>
        <v>-</v>
      </c>
    </row>
    <row r="1127" spans="1:9" x14ac:dyDescent="0.2">
      <c r="A1127">
        <v>340964</v>
      </c>
      <c r="B1127" t="s">
        <v>27</v>
      </c>
      <c r="C1127" t="s">
        <v>8</v>
      </c>
      <c r="D1127" t="s">
        <v>28</v>
      </c>
      <c r="E1127">
        <v>602</v>
      </c>
      <c r="F1127">
        <v>14.14</v>
      </c>
      <c r="G1127" t="s">
        <v>29</v>
      </c>
      <c r="H1127" t="e">
        <f t="shared" si="34"/>
        <v>#VALUE!</v>
      </c>
      <c r="I1127" t="str">
        <f t="shared" si="35"/>
        <v>-</v>
      </c>
    </row>
    <row r="1128" spans="1:9" x14ac:dyDescent="0.2">
      <c r="A1128">
        <v>341165</v>
      </c>
      <c r="B1128" t="s">
        <v>30</v>
      </c>
      <c r="C1128" t="s">
        <v>8</v>
      </c>
      <c r="D1128" t="s">
        <v>31</v>
      </c>
      <c r="E1128">
        <v>3809</v>
      </c>
      <c r="F1128">
        <v>3809</v>
      </c>
      <c r="G1128" t="s">
        <v>15</v>
      </c>
      <c r="H1128" t="str">
        <f t="shared" si="34"/>
        <v>PSI</v>
      </c>
      <c r="I1128">
        <f t="shared" si="35"/>
        <v>55.244874301436688</v>
      </c>
    </row>
    <row r="1129" spans="1:9" x14ac:dyDescent="0.2">
      <c r="A1129">
        <v>341387</v>
      </c>
      <c r="B1129" t="s">
        <v>32</v>
      </c>
      <c r="C1129" t="s">
        <v>8</v>
      </c>
      <c r="D1129" t="s">
        <v>33</v>
      </c>
      <c r="E1129">
        <v>3956</v>
      </c>
      <c r="F1129">
        <v>0.97</v>
      </c>
      <c r="G1129" t="s">
        <v>26</v>
      </c>
      <c r="H1129" t="e">
        <f t="shared" si="34"/>
        <v>#VALUE!</v>
      </c>
      <c r="I1129" t="str">
        <f t="shared" si="35"/>
        <v>-</v>
      </c>
    </row>
    <row r="1130" spans="1:9" x14ac:dyDescent="0.2">
      <c r="A1130">
        <v>341609</v>
      </c>
      <c r="B1130" t="s">
        <v>34</v>
      </c>
      <c r="C1130" t="s">
        <v>8</v>
      </c>
      <c r="D1130" t="s">
        <v>35</v>
      </c>
      <c r="E1130">
        <v>3812</v>
      </c>
      <c r="F1130">
        <v>0.93</v>
      </c>
      <c r="G1130" t="s">
        <v>26</v>
      </c>
      <c r="H1130" t="e">
        <f t="shared" si="34"/>
        <v>#VALUE!</v>
      </c>
      <c r="I1130" t="str">
        <f t="shared" si="35"/>
        <v>-</v>
      </c>
    </row>
    <row r="1131" spans="1:9" x14ac:dyDescent="0.2">
      <c r="A1131">
        <v>341991</v>
      </c>
      <c r="B1131" t="s">
        <v>36</v>
      </c>
      <c r="C1131" t="s">
        <v>8</v>
      </c>
      <c r="D1131" t="s">
        <v>37</v>
      </c>
      <c r="E1131" t="s">
        <v>18</v>
      </c>
      <c r="F1131" t="s">
        <v>18</v>
      </c>
      <c r="G1131" t="s">
        <v>18</v>
      </c>
      <c r="H1131" t="e">
        <f t="shared" si="34"/>
        <v>#VALUE!</v>
      </c>
      <c r="I1131" t="str">
        <f t="shared" si="35"/>
        <v>-</v>
      </c>
    </row>
    <row r="1132" spans="1:9" x14ac:dyDescent="0.2">
      <c r="A1132">
        <v>342373</v>
      </c>
      <c r="B1132" t="s">
        <v>38</v>
      </c>
      <c r="C1132" t="s">
        <v>8</v>
      </c>
      <c r="D1132" t="s">
        <v>39</v>
      </c>
      <c r="E1132" t="s">
        <v>18</v>
      </c>
      <c r="F1132" t="s">
        <v>18</v>
      </c>
      <c r="G1132" t="s">
        <v>18</v>
      </c>
      <c r="H1132" t="e">
        <f t="shared" si="34"/>
        <v>#VALUE!</v>
      </c>
      <c r="I1132" t="str">
        <f t="shared" si="35"/>
        <v>-</v>
      </c>
    </row>
    <row r="1133" spans="1:9" x14ac:dyDescent="0.2">
      <c r="A1133">
        <v>342755</v>
      </c>
      <c r="B1133" t="s">
        <v>40</v>
      </c>
      <c r="C1133" t="s">
        <v>8</v>
      </c>
      <c r="D1133" t="s">
        <v>41</v>
      </c>
      <c r="E1133" t="s">
        <v>18</v>
      </c>
      <c r="F1133" t="s">
        <v>18</v>
      </c>
      <c r="G1133" t="s">
        <v>18</v>
      </c>
      <c r="H1133" t="e">
        <f t="shared" si="34"/>
        <v>#VALUE!</v>
      </c>
      <c r="I1133" t="str">
        <f t="shared" si="35"/>
        <v>-</v>
      </c>
    </row>
    <row r="1134" spans="1:9" x14ac:dyDescent="0.2">
      <c r="A1134">
        <v>342967</v>
      </c>
      <c r="B1134" t="s">
        <v>42</v>
      </c>
      <c r="C1134" t="s">
        <v>8</v>
      </c>
      <c r="D1134" t="s">
        <v>43</v>
      </c>
      <c r="E1134">
        <v>23280</v>
      </c>
      <c r="F1134">
        <v>11.64</v>
      </c>
      <c r="G1134" t="s">
        <v>44</v>
      </c>
      <c r="H1134" t="str">
        <f t="shared" si="34"/>
        <v>PSI</v>
      </c>
      <c r="I1134">
        <f t="shared" si="35"/>
        <v>1688.2392671796351</v>
      </c>
    </row>
    <row r="1135" spans="1:9" x14ac:dyDescent="0.2">
      <c r="A1135">
        <v>343178</v>
      </c>
      <c r="B1135" t="s">
        <v>45</v>
      </c>
      <c r="C1135" t="s">
        <v>8</v>
      </c>
      <c r="D1135" t="s">
        <v>46</v>
      </c>
      <c r="E1135">
        <v>1</v>
      </c>
      <c r="F1135">
        <v>1</v>
      </c>
      <c r="G1135" t="s">
        <v>15</v>
      </c>
      <c r="H1135" t="str">
        <f t="shared" si="34"/>
        <v>PSI</v>
      </c>
      <c r="I1135">
        <f t="shared" si="35"/>
        <v>1.4503773773020921E-2</v>
      </c>
    </row>
    <row r="1136" spans="1:9" x14ac:dyDescent="0.2">
      <c r="A1136">
        <v>343390</v>
      </c>
      <c r="B1136" t="s">
        <v>47</v>
      </c>
      <c r="C1136" t="s">
        <v>8</v>
      </c>
      <c r="D1136" t="s">
        <v>48</v>
      </c>
      <c r="E1136">
        <v>3093</v>
      </c>
      <c r="F1136">
        <v>309.3</v>
      </c>
      <c r="G1136" t="s">
        <v>49</v>
      </c>
      <c r="H1136" t="e">
        <f t="shared" si="34"/>
        <v>#VALUE!</v>
      </c>
      <c r="I1136" t="str">
        <f t="shared" si="35"/>
        <v>-</v>
      </c>
    </row>
    <row r="1137" spans="1:9" x14ac:dyDescent="0.2">
      <c r="A1137">
        <v>343603</v>
      </c>
      <c r="B1137" t="s">
        <v>50</v>
      </c>
      <c r="C1137" t="s">
        <v>8</v>
      </c>
      <c r="D1137" t="s">
        <v>51</v>
      </c>
      <c r="E1137">
        <v>25476</v>
      </c>
      <c r="F1137">
        <v>995.16</v>
      </c>
      <c r="G1137" t="s">
        <v>15</v>
      </c>
      <c r="H1137" t="str">
        <f t="shared" si="34"/>
        <v>PSI</v>
      </c>
      <c r="I1137">
        <f t="shared" si="35"/>
        <v>14.4335755079595</v>
      </c>
    </row>
    <row r="1138" spans="1:9" x14ac:dyDescent="0.2">
      <c r="A1138">
        <v>343785</v>
      </c>
      <c r="B1138" t="s">
        <v>52</v>
      </c>
      <c r="C1138" t="s">
        <v>8</v>
      </c>
      <c r="D1138" t="s">
        <v>53</v>
      </c>
      <c r="E1138">
        <v>97</v>
      </c>
      <c r="F1138">
        <v>24.75</v>
      </c>
      <c r="G1138" t="s">
        <v>10</v>
      </c>
      <c r="H1138" t="e">
        <f t="shared" si="34"/>
        <v>#VALUE!</v>
      </c>
      <c r="I1138" t="str">
        <f t="shared" si="35"/>
        <v>-</v>
      </c>
    </row>
    <row r="1139" spans="1:9" x14ac:dyDescent="0.2">
      <c r="A1139">
        <v>343977</v>
      </c>
      <c r="B1139" t="s">
        <v>54</v>
      </c>
      <c r="C1139" t="s">
        <v>8</v>
      </c>
      <c r="D1139" t="s">
        <v>55</v>
      </c>
      <c r="E1139">
        <v>7</v>
      </c>
      <c r="F1139">
        <v>28</v>
      </c>
      <c r="G1139" t="s">
        <v>56</v>
      </c>
      <c r="H1139" t="e">
        <f t="shared" si="34"/>
        <v>#VALUE!</v>
      </c>
      <c r="I1139" t="str">
        <f t="shared" si="35"/>
        <v>-</v>
      </c>
    </row>
    <row r="1140" spans="1:9" x14ac:dyDescent="0.2">
      <c r="A1140">
        <v>344359</v>
      </c>
      <c r="B1140" t="s">
        <v>57</v>
      </c>
      <c r="C1140" t="s">
        <v>8</v>
      </c>
      <c r="D1140" t="s">
        <v>58</v>
      </c>
      <c r="E1140" t="s">
        <v>18</v>
      </c>
      <c r="F1140" t="s">
        <v>18</v>
      </c>
      <c r="G1140" t="s">
        <v>18</v>
      </c>
      <c r="H1140" t="e">
        <f t="shared" si="34"/>
        <v>#VALUE!</v>
      </c>
      <c r="I1140" t="str">
        <f t="shared" si="35"/>
        <v>-</v>
      </c>
    </row>
    <row r="1141" spans="1:9" x14ac:dyDescent="0.2">
      <c r="A1141">
        <v>344741</v>
      </c>
      <c r="B1141" t="s">
        <v>59</v>
      </c>
      <c r="C1141" t="s">
        <v>8</v>
      </c>
      <c r="D1141" t="s">
        <v>60</v>
      </c>
      <c r="E1141" t="s">
        <v>18</v>
      </c>
      <c r="F1141" t="s">
        <v>18</v>
      </c>
      <c r="G1141" t="s">
        <v>18</v>
      </c>
      <c r="H1141" t="e">
        <f t="shared" si="34"/>
        <v>#VALUE!</v>
      </c>
      <c r="I1141" t="str">
        <f t="shared" si="35"/>
        <v>-</v>
      </c>
    </row>
    <row r="1142" spans="1:9" x14ac:dyDescent="0.2">
      <c r="A1142">
        <v>345123</v>
      </c>
      <c r="B1142" t="s">
        <v>61</v>
      </c>
      <c r="C1142" t="s">
        <v>8</v>
      </c>
      <c r="D1142" t="s">
        <v>62</v>
      </c>
      <c r="E1142" t="s">
        <v>18</v>
      </c>
      <c r="F1142" t="s">
        <v>18</v>
      </c>
      <c r="G1142" t="s">
        <v>18</v>
      </c>
      <c r="H1142" t="e">
        <f t="shared" si="34"/>
        <v>#VALUE!</v>
      </c>
      <c r="I1142" t="str">
        <f t="shared" si="35"/>
        <v>-</v>
      </c>
    </row>
    <row r="1143" spans="1:9" x14ac:dyDescent="0.2">
      <c r="A1143">
        <v>345505</v>
      </c>
      <c r="B1143" t="s">
        <v>63</v>
      </c>
      <c r="C1143" t="s">
        <v>8</v>
      </c>
      <c r="D1143" t="s">
        <v>64</v>
      </c>
      <c r="E1143" t="s">
        <v>18</v>
      </c>
      <c r="F1143" t="s">
        <v>18</v>
      </c>
      <c r="G1143" t="s">
        <v>18</v>
      </c>
      <c r="H1143" t="e">
        <f t="shared" si="34"/>
        <v>#VALUE!</v>
      </c>
      <c r="I1143" t="str">
        <f t="shared" si="35"/>
        <v>-</v>
      </c>
    </row>
    <row r="1144" spans="1:9" x14ac:dyDescent="0.2">
      <c r="A1144">
        <v>345757</v>
      </c>
      <c r="B1144" t="s">
        <v>65</v>
      </c>
      <c r="C1144" t="s">
        <v>8</v>
      </c>
      <c r="D1144" t="s">
        <v>66</v>
      </c>
      <c r="E1144">
        <v>28044</v>
      </c>
      <c r="F1144">
        <v>3.42</v>
      </c>
      <c r="G1144" t="s">
        <v>67</v>
      </c>
      <c r="H1144" t="e">
        <f t="shared" si="34"/>
        <v>#VALUE!</v>
      </c>
      <c r="I1144" t="str">
        <f t="shared" si="35"/>
        <v>-</v>
      </c>
    </row>
    <row r="1145" spans="1:9" x14ac:dyDescent="0.2">
      <c r="A1145">
        <v>346149</v>
      </c>
      <c r="B1145" t="s">
        <v>68</v>
      </c>
      <c r="C1145" t="s">
        <v>8</v>
      </c>
      <c r="D1145" t="s">
        <v>69</v>
      </c>
      <c r="E1145" t="s">
        <v>18</v>
      </c>
      <c r="F1145" t="s">
        <v>18</v>
      </c>
      <c r="G1145" t="s">
        <v>18</v>
      </c>
      <c r="H1145" t="e">
        <f t="shared" si="34"/>
        <v>#VALUE!</v>
      </c>
      <c r="I1145" t="str">
        <f t="shared" si="35"/>
        <v>-</v>
      </c>
    </row>
    <row r="1146" spans="1:9" x14ac:dyDescent="0.2">
      <c r="A1146">
        <v>346351</v>
      </c>
      <c r="B1146" t="s">
        <v>7</v>
      </c>
      <c r="C1146" t="s">
        <v>8</v>
      </c>
      <c r="D1146" t="s">
        <v>9</v>
      </c>
      <c r="E1146">
        <v>164</v>
      </c>
      <c r="F1146">
        <v>104</v>
      </c>
      <c r="G1146" t="s">
        <v>10</v>
      </c>
      <c r="H1146" t="e">
        <f t="shared" si="34"/>
        <v>#VALUE!</v>
      </c>
      <c r="I1146" t="str">
        <f t="shared" si="35"/>
        <v>-</v>
      </c>
    </row>
    <row r="1147" spans="1:9" x14ac:dyDescent="0.2">
      <c r="A1147">
        <v>346533</v>
      </c>
      <c r="B1147" t="s">
        <v>11</v>
      </c>
      <c r="C1147" t="s">
        <v>8</v>
      </c>
      <c r="D1147" t="s">
        <v>12</v>
      </c>
      <c r="E1147">
        <v>194</v>
      </c>
      <c r="F1147">
        <v>97.5</v>
      </c>
      <c r="G1147" t="s">
        <v>10</v>
      </c>
      <c r="H1147" t="e">
        <f t="shared" si="34"/>
        <v>#VALUE!</v>
      </c>
      <c r="I1147" t="str">
        <f t="shared" si="35"/>
        <v>-</v>
      </c>
    </row>
    <row r="1148" spans="1:9" x14ac:dyDescent="0.2">
      <c r="A1148">
        <v>346745</v>
      </c>
      <c r="B1148" t="s">
        <v>13</v>
      </c>
      <c r="C1148" t="s">
        <v>8</v>
      </c>
      <c r="D1148" t="s">
        <v>14</v>
      </c>
      <c r="E1148">
        <v>26124</v>
      </c>
      <c r="F1148">
        <v>1020.47</v>
      </c>
      <c r="G1148" t="s">
        <v>15</v>
      </c>
      <c r="H1148" t="str">
        <f t="shared" si="34"/>
        <v>PSI</v>
      </c>
      <c r="I1148">
        <f t="shared" si="35"/>
        <v>14.800666022154658</v>
      </c>
    </row>
    <row r="1149" spans="1:9" x14ac:dyDescent="0.2">
      <c r="A1149">
        <v>347127</v>
      </c>
      <c r="B1149" t="s">
        <v>16</v>
      </c>
      <c r="C1149" t="s">
        <v>8</v>
      </c>
      <c r="D1149" t="s">
        <v>17</v>
      </c>
      <c r="E1149" t="s">
        <v>18</v>
      </c>
      <c r="F1149" t="s">
        <v>18</v>
      </c>
      <c r="G1149" t="s">
        <v>18</v>
      </c>
      <c r="H1149" t="e">
        <f t="shared" si="34"/>
        <v>#VALUE!</v>
      </c>
      <c r="I1149" t="str">
        <f t="shared" si="35"/>
        <v>-</v>
      </c>
    </row>
    <row r="1150" spans="1:9" x14ac:dyDescent="0.2">
      <c r="A1150">
        <v>347339</v>
      </c>
      <c r="B1150" t="s">
        <v>19</v>
      </c>
      <c r="C1150" t="s">
        <v>8</v>
      </c>
      <c r="D1150" t="s">
        <v>20</v>
      </c>
      <c r="E1150">
        <v>13704</v>
      </c>
      <c r="F1150">
        <v>1070.6199999999999</v>
      </c>
      <c r="G1150" t="s">
        <v>15</v>
      </c>
      <c r="H1150" t="str">
        <f t="shared" si="34"/>
        <v>PSI</v>
      </c>
      <c r="I1150">
        <f t="shared" si="35"/>
        <v>15.528030276871656</v>
      </c>
    </row>
    <row r="1151" spans="1:9" x14ac:dyDescent="0.2">
      <c r="A1151">
        <v>347552</v>
      </c>
      <c r="B1151" t="s">
        <v>21</v>
      </c>
      <c r="C1151" t="s">
        <v>8</v>
      </c>
      <c r="D1151" t="s">
        <v>22</v>
      </c>
      <c r="E1151">
        <v>11087</v>
      </c>
      <c r="F1151">
        <v>2771.75</v>
      </c>
      <c r="G1151" t="s">
        <v>23</v>
      </c>
      <c r="H1151" t="e">
        <f t="shared" si="34"/>
        <v>#VALUE!</v>
      </c>
      <c r="I1151" t="str">
        <f t="shared" si="35"/>
        <v>-</v>
      </c>
    </row>
    <row r="1152" spans="1:9" x14ac:dyDescent="0.2">
      <c r="A1152">
        <v>347744</v>
      </c>
      <c r="B1152" t="s">
        <v>24</v>
      </c>
      <c r="C1152" t="s">
        <v>8</v>
      </c>
      <c r="D1152" t="s">
        <v>25</v>
      </c>
      <c r="E1152">
        <v>4</v>
      </c>
      <c r="F1152">
        <v>4</v>
      </c>
      <c r="G1152" t="s">
        <v>26</v>
      </c>
      <c r="H1152" t="e">
        <f t="shared" si="34"/>
        <v>#VALUE!</v>
      </c>
      <c r="I1152" t="str">
        <f t="shared" si="35"/>
        <v>-</v>
      </c>
    </row>
    <row r="1153" spans="1:9" x14ac:dyDescent="0.2">
      <c r="A1153">
        <v>347946</v>
      </c>
      <c r="B1153" t="s">
        <v>27</v>
      </c>
      <c r="C1153" t="s">
        <v>8</v>
      </c>
      <c r="D1153" t="s">
        <v>28</v>
      </c>
      <c r="E1153">
        <v>603</v>
      </c>
      <c r="F1153">
        <v>14.16</v>
      </c>
      <c r="G1153" t="s">
        <v>29</v>
      </c>
      <c r="H1153" t="e">
        <f t="shared" si="34"/>
        <v>#VALUE!</v>
      </c>
      <c r="I1153" t="str">
        <f t="shared" si="35"/>
        <v>-</v>
      </c>
    </row>
    <row r="1154" spans="1:9" x14ac:dyDescent="0.2">
      <c r="A1154">
        <v>348159</v>
      </c>
      <c r="B1154" t="s">
        <v>30</v>
      </c>
      <c r="C1154" t="s">
        <v>8</v>
      </c>
      <c r="D1154" t="s">
        <v>31</v>
      </c>
      <c r="E1154">
        <v>3190</v>
      </c>
      <c r="F1154">
        <v>3190</v>
      </c>
      <c r="G1154" t="s">
        <v>15</v>
      </c>
      <c r="H1154" t="str">
        <f t="shared" si="34"/>
        <v>PSI</v>
      </c>
      <c r="I1154">
        <f t="shared" si="35"/>
        <v>46.267038335936739</v>
      </c>
    </row>
    <row r="1155" spans="1:9" x14ac:dyDescent="0.2">
      <c r="A1155">
        <v>348371</v>
      </c>
      <c r="B1155" t="s">
        <v>32</v>
      </c>
      <c r="C1155" t="s">
        <v>8</v>
      </c>
      <c r="D1155" t="s">
        <v>33</v>
      </c>
      <c r="E1155">
        <v>65536</v>
      </c>
      <c r="F1155">
        <v>16</v>
      </c>
      <c r="G1155" t="s">
        <v>26</v>
      </c>
      <c r="H1155" t="e">
        <f t="shared" ref="H1155:H1218" si="36">IF(FIND("Pa",G1155,1),"PSI","-")</f>
        <v>#VALUE!</v>
      </c>
      <c r="I1155" t="str">
        <f t="shared" ref="I1155:I1218" si="37">IF(G1155="hPa",CONVERT(F1155*100,"Pa","psi"), IF(G1155="MPa",CONVERT(F1155*1000000,"Pa","psi"),"-"))</f>
        <v>-</v>
      </c>
    </row>
    <row r="1156" spans="1:9" x14ac:dyDescent="0.2">
      <c r="A1156">
        <v>348583</v>
      </c>
      <c r="B1156" t="s">
        <v>34</v>
      </c>
      <c r="C1156" t="s">
        <v>8</v>
      </c>
      <c r="D1156" t="s">
        <v>35</v>
      </c>
      <c r="E1156">
        <v>65299</v>
      </c>
      <c r="F1156">
        <v>15.94</v>
      </c>
      <c r="G1156" t="s">
        <v>26</v>
      </c>
      <c r="H1156" t="e">
        <f t="shared" si="36"/>
        <v>#VALUE!</v>
      </c>
      <c r="I1156" t="str">
        <f t="shared" si="37"/>
        <v>-</v>
      </c>
    </row>
    <row r="1157" spans="1:9" x14ac:dyDescent="0.2">
      <c r="A1157">
        <v>348965</v>
      </c>
      <c r="B1157" t="s">
        <v>36</v>
      </c>
      <c r="C1157" t="s">
        <v>8</v>
      </c>
      <c r="D1157" t="s">
        <v>37</v>
      </c>
      <c r="E1157" t="s">
        <v>18</v>
      </c>
      <c r="F1157" t="s">
        <v>18</v>
      </c>
      <c r="G1157" t="s">
        <v>18</v>
      </c>
      <c r="H1157" t="e">
        <f t="shared" si="36"/>
        <v>#VALUE!</v>
      </c>
      <c r="I1157" t="str">
        <f t="shared" si="37"/>
        <v>-</v>
      </c>
    </row>
    <row r="1158" spans="1:9" x14ac:dyDescent="0.2">
      <c r="A1158">
        <v>349347</v>
      </c>
      <c r="B1158" t="s">
        <v>38</v>
      </c>
      <c r="C1158" t="s">
        <v>8</v>
      </c>
      <c r="D1158" t="s">
        <v>39</v>
      </c>
      <c r="E1158" t="s">
        <v>18</v>
      </c>
      <c r="F1158" t="s">
        <v>18</v>
      </c>
      <c r="G1158" t="s">
        <v>18</v>
      </c>
      <c r="H1158" t="e">
        <f t="shared" si="36"/>
        <v>#VALUE!</v>
      </c>
      <c r="I1158" t="str">
        <f t="shared" si="37"/>
        <v>-</v>
      </c>
    </row>
    <row r="1159" spans="1:9" x14ac:dyDescent="0.2">
      <c r="A1159">
        <v>349729</v>
      </c>
      <c r="B1159" t="s">
        <v>40</v>
      </c>
      <c r="C1159" t="s">
        <v>8</v>
      </c>
      <c r="D1159" t="s">
        <v>41</v>
      </c>
      <c r="E1159" t="s">
        <v>18</v>
      </c>
      <c r="F1159" t="s">
        <v>18</v>
      </c>
      <c r="G1159" t="s">
        <v>18</v>
      </c>
      <c r="H1159" t="e">
        <f t="shared" si="36"/>
        <v>#VALUE!</v>
      </c>
      <c r="I1159" t="str">
        <f t="shared" si="37"/>
        <v>-</v>
      </c>
    </row>
    <row r="1160" spans="1:9" x14ac:dyDescent="0.2">
      <c r="A1160">
        <v>349941</v>
      </c>
      <c r="B1160" t="s">
        <v>42</v>
      </c>
      <c r="C1160" t="s">
        <v>8</v>
      </c>
      <c r="D1160" t="s">
        <v>43</v>
      </c>
      <c r="E1160">
        <v>10399</v>
      </c>
      <c r="F1160">
        <v>5.2</v>
      </c>
      <c r="G1160" t="s">
        <v>44</v>
      </c>
      <c r="H1160" t="str">
        <f t="shared" si="36"/>
        <v>PSI</v>
      </c>
      <c r="I1160">
        <f t="shared" si="37"/>
        <v>754.19623619708784</v>
      </c>
    </row>
    <row r="1161" spans="1:9" x14ac:dyDescent="0.2">
      <c r="A1161">
        <v>350153</v>
      </c>
      <c r="B1161" t="s">
        <v>45</v>
      </c>
      <c r="C1161" t="s">
        <v>8</v>
      </c>
      <c r="D1161" t="s">
        <v>46</v>
      </c>
      <c r="E1161">
        <v>1</v>
      </c>
      <c r="F1161">
        <v>1</v>
      </c>
      <c r="G1161" t="s">
        <v>15</v>
      </c>
      <c r="H1161" t="str">
        <f t="shared" si="36"/>
        <v>PSI</v>
      </c>
      <c r="I1161">
        <f t="shared" si="37"/>
        <v>1.4503773773020921E-2</v>
      </c>
    </row>
    <row r="1162" spans="1:9" x14ac:dyDescent="0.2">
      <c r="A1162">
        <v>350355</v>
      </c>
      <c r="B1162" t="s">
        <v>47</v>
      </c>
      <c r="C1162" t="s">
        <v>8</v>
      </c>
      <c r="D1162" t="s">
        <v>48</v>
      </c>
      <c r="E1162">
        <v>3163</v>
      </c>
      <c r="F1162">
        <v>316.3</v>
      </c>
      <c r="G1162" t="s">
        <v>49</v>
      </c>
      <c r="H1162" t="e">
        <f t="shared" si="36"/>
        <v>#VALUE!</v>
      </c>
      <c r="I1162" t="str">
        <f t="shared" si="37"/>
        <v>-</v>
      </c>
    </row>
    <row r="1163" spans="1:9" x14ac:dyDescent="0.2">
      <c r="A1163">
        <v>350567</v>
      </c>
      <c r="B1163" t="s">
        <v>50</v>
      </c>
      <c r="C1163" t="s">
        <v>8</v>
      </c>
      <c r="D1163" t="s">
        <v>51</v>
      </c>
      <c r="E1163">
        <v>24935</v>
      </c>
      <c r="F1163">
        <v>974.02</v>
      </c>
      <c r="G1163" t="s">
        <v>15</v>
      </c>
      <c r="H1163" t="str">
        <f t="shared" si="36"/>
        <v>PSI</v>
      </c>
      <c r="I1163">
        <f t="shared" si="37"/>
        <v>14.126965730397837</v>
      </c>
    </row>
    <row r="1164" spans="1:9" x14ac:dyDescent="0.2">
      <c r="A1164">
        <v>350759</v>
      </c>
      <c r="B1164" t="s">
        <v>52</v>
      </c>
      <c r="C1164" t="s">
        <v>8</v>
      </c>
      <c r="D1164" t="s">
        <v>53</v>
      </c>
      <c r="E1164">
        <v>97</v>
      </c>
      <c r="F1164">
        <v>24.75</v>
      </c>
      <c r="G1164" t="s">
        <v>10</v>
      </c>
      <c r="H1164" t="e">
        <f t="shared" si="36"/>
        <v>#VALUE!</v>
      </c>
      <c r="I1164" t="str">
        <f t="shared" si="37"/>
        <v>-</v>
      </c>
    </row>
    <row r="1165" spans="1:9" x14ac:dyDescent="0.2">
      <c r="A1165">
        <v>350951</v>
      </c>
      <c r="B1165" t="s">
        <v>54</v>
      </c>
      <c r="C1165" t="s">
        <v>8</v>
      </c>
      <c r="D1165" t="s">
        <v>55</v>
      </c>
      <c r="E1165">
        <v>10</v>
      </c>
      <c r="F1165">
        <v>40</v>
      </c>
      <c r="G1165" t="s">
        <v>56</v>
      </c>
      <c r="H1165" t="e">
        <f t="shared" si="36"/>
        <v>#VALUE!</v>
      </c>
      <c r="I1165" t="str">
        <f t="shared" si="37"/>
        <v>-</v>
      </c>
    </row>
    <row r="1166" spans="1:9" x14ac:dyDescent="0.2">
      <c r="A1166">
        <v>351334</v>
      </c>
      <c r="B1166" t="s">
        <v>57</v>
      </c>
      <c r="C1166" t="s">
        <v>8</v>
      </c>
      <c r="D1166" t="s">
        <v>58</v>
      </c>
      <c r="E1166" t="s">
        <v>18</v>
      </c>
      <c r="F1166" t="s">
        <v>18</v>
      </c>
      <c r="G1166" t="s">
        <v>18</v>
      </c>
      <c r="H1166" t="e">
        <f t="shared" si="36"/>
        <v>#VALUE!</v>
      </c>
      <c r="I1166" t="str">
        <f t="shared" si="37"/>
        <v>-</v>
      </c>
    </row>
    <row r="1167" spans="1:9" x14ac:dyDescent="0.2">
      <c r="A1167">
        <v>351716</v>
      </c>
      <c r="B1167" t="s">
        <v>59</v>
      </c>
      <c r="C1167" t="s">
        <v>8</v>
      </c>
      <c r="D1167" t="s">
        <v>60</v>
      </c>
      <c r="E1167" t="s">
        <v>18</v>
      </c>
      <c r="F1167" t="s">
        <v>18</v>
      </c>
      <c r="G1167" t="s">
        <v>18</v>
      </c>
      <c r="H1167" t="e">
        <f t="shared" si="36"/>
        <v>#VALUE!</v>
      </c>
      <c r="I1167" t="str">
        <f t="shared" si="37"/>
        <v>-</v>
      </c>
    </row>
    <row r="1168" spans="1:9" x14ac:dyDescent="0.2">
      <c r="A1168">
        <v>352098</v>
      </c>
      <c r="B1168" t="s">
        <v>61</v>
      </c>
      <c r="C1168" t="s">
        <v>8</v>
      </c>
      <c r="D1168" t="s">
        <v>62</v>
      </c>
      <c r="E1168" t="s">
        <v>18</v>
      </c>
      <c r="F1168" t="s">
        <v>18</v>
      </c>
      <c r="G1168" t="s">
        <v>18</v>
      </c>
      <c r="H1168" t="e">
        <f t="shared" si="36"/>
        <v>#VALUE!</v>
      </c>
      <c r="I1168" t="str">
        <f t="shared" si="37"/>
        <v>-</v>
      </c>
    </row>
    <row r="1169" spans="1:9" x14ac:dyDescent="0.2">
      <c r="A1169">
        <v>352480</v>
      </c>
      <c r="B1169" t="s">
        <v>63</v>
      </c>
      <c r="C1169" t="s">
        <v>8</v>
      </c>
      <c r="D1169" t="s">
        <v>64</v>
      </c>
      <c r="E1169" t="s">
        <v>18</v>
      </c>
      <c r="F1169" t="s">
        <v>18</v>
      </c>
      <c r="G1169" t="s">
        <v>18</v>
      </c>
      <c r="H1169" t="e">
        <f t="shared" si="36"/>
        <v>#VALUE!</v>
      </c>
      <c r="I1169" t="str">
        <f t="shared" si="37"/>
        <v>-</v>
      </c>
    </row>
    <row r="1170" spans="1:9" x14ac:dyDescent="0.2">
      <c r="A1170">
        <v>352732</v>
      </c>
      <c r="B1170" t="s">
        <v>65</v>
      </c>
      <c r="C1170" t="s">
        <v>8</v>
      </c>
      <c r="D1170" t="s">
        <v>66</v>
      </c>
      <c r="E1170">
        <v>28062</v>
      </c>
      <c r="F1170">
        <v>3.43</v>
      </c>
      <c r="G1170" t="s">
        <v>67</v>
      </c>
      <c r="H1170" t="e">
        <f t="shared" si="36"/>
        <v>#VALUE!</v>
      </c>
      <c r="I1170" t="str">
        <f t="shared" si="37"/>
        <v>-</v>
      </c>
    </row>
    <row r="1171" spans="1:9" x14ac:dyDescent="0.2">
      <c r="A1171">
        <v>353114</v>
      </c>
      <c r="B1171" t="s">
        <v>68</v>
      </c>
      <c r="C1171" t="s">
        <v>8</v>
      </c>
      <c r="D1171" t="s">
        <v>69</v>
      </c>
      <c r="E1171" t="s">
        <v>18</v>
      </c>
      <c r="F1171" t="s">
        <v>18</v>
      </c>
      <c r="G1171" t="s">
        <v>18</v>
      </c>
      <c r="H1171" t="e">
        <f t="shared" si="36"/>
        <v>#VALUE!</v>
      </c>
      <c r="I1171" t="str">
        <f t="shared" si="37"/>
        <v>-</v>
      </c>
    </row>
    <row r="1172" spans="1:9" x14ac:dyDescent="0.2">
      <c r="A1172">
        <v>353316</v>
      </c>
      <c r="B1172" t="s">
        <v>7</v>
      </c>
      <c r="C1172" t="s">
        <v>8</v>
      </c>
      <c r="D1172" t="s">
        <v>9</v>
      </c>
      <c r="E1172">
        <v>164</v>
      </c>
      <c r="F1172">
        <v>104</v>
      </c>
      <c r="G1172" t="s">
        <v>10</v>
      </c>
      <c r="H1172" t="e">
        <f t="shared" si="36"/>
        <v>#VALUE!</v>
      </c>
      <c r="I1172" t="str">
        <f t="shared" si="37"/>
        <v>-</v>
      </c>
    </row>
    <row r="1173" spans="1:9" x14ac:dyDescent="0.2">
      <c r="A1173">
        <v>353508</v>
      </c>
      <c r="B1173" t="s">
        <v>11</v>
      </c>
      <c r="C1173" t="s">
        <v>8</v>
      </c>
      <c r="D1173" t="s">
        <v>12</v>
      </c>
      <c r="E1173">
        <v>197</v>
      </c>
      <c r="F1173">
        <v>99.75</v>
      </c>
      <c r="G1173" t="s">
        <v>10</v>
      </c>
      <c r="H1173" t="e">
        <f t="shared" si="36"/>
        <v>#VALUE!</v>
      </c>
      <c r="I1173" t="str">
        <f t="shared" si="37"/>
        <v>-</v>
      </c>
    </row>
    <row r="1174" spans="1:9" x14ac:dyDescent="0.2">
      <c r="A1174">
        <v>353720</v>
      </c>
      <c r="B1174" t="s">
        <v>13</v>
      </c>
      <c r="C1174" t="s">
        <v>8</v>
      </c>
      <c r="D1174" t="s">
        <v>14</v>
      </c>
      <c r="E1174">
        <v>26092</v>
      </c>
      <c r="F1174">
        <v>1019.22</v>
      </c>
      <c r="G1174" t="s">
        <v>15</v>
      </c>
      <c r="H1174" t="str">
        <f t="shared" si="36"/>
        <v>PSI</v>
      </c>
      <c r="I1174">
        <f t="shared" si="37"/>
        <v>14.782536304938382</v>
      </c>
    </row>
    <row r="1175" spans="1:9" x14ac:dyDescent="0.2">
      <c r="A1175">
        <v>354102</v>
      </c>
      <c r="B1175" t="s">
        <v>16</v>
      </c>
      <c r="C1175" t="s">
        <v>8</v>
      </c>
      <c r="D1175" t="s">
        <v>17</v>
      </c>
      <c r="E1175" t="s">
        <v>18</v>
      </c>
      <c r="F1175" t="s">
        <v>18</v>
      </c>
      <c r="G1175" t="s">
        <v>18</v>
      </c>
      <c r="H1175" t="e">
        <f t="shared" si="36"/>
        <v>#VALUE!</v>
      </c>
      <c r="I1175" t="str">
        <f t="shared" si="37"/>
        <v>-</v>
      </c>
    </row>
    <row r="1176" spans="1:9" x14ac:dyDescent="0.2">
      <c r="A1176">
        <v>354314</v>
      </c>
      <c r="B1176" t="s">
        <v>19</v>
      </c>
      <c r="C1176" t="s">
        <v>8</v>
      </c>
      <c r="D1176" t="s">
        <v>20</v>
      </c>
      <c r="E1176">
        <v>13308</v>
      </c>
      <c r="F1176">
        <v>1039.69</v>
      </c>
      <c r="G1176" t="s">
        <v>15</v>
      </c>
      <c r="H1176" t="str">
        <f t="shared" si="36"/>
        <v>PSI</v>
      </c>
      <c r="I1176">
        <f t="shared" si="37"/>
        <v>15.079428554072122</v>
      </c>
    </row>
    <row r="1177" spans="1:9" x14ac:dyDescent="0.2">
      <c r="A1177">
        <v>354526</v>
      </c>
      <c r="B1177" t="s">
        <v>21</v>
      </c>
      <c r="C1177" t="s">
        <v>8</v>
      </c>
      <c r="D1177" t="s">
        <v>22</v>
      </c>
      <c r="E1177">
        <v>10681</v>
      </c>
      <c r="F1177">
        <v>2670.25</v>
      </c>
      <c r="G1177" t="s">
        <v>23</v>
      </c>
      <c r="H1177" t="e">
        <f t="shared" si="36"/>
        <v>#VALUE!</v>
      </c>
      <c r="I1177" t="str">
        <f t="shared" si="37"/>
        <v>-</v>
      </c>
    </row>
    <row r="1178" spans="1:9" x14ac:dyDescent="0.2">
      <c r="A1178">
        <v>354718</v>
      </c>
      <c r="B1178" t="s">
        <v>24</v>
      </c>
      <c r="C1178" t="s">
        <v>8</v>
      </c>
      <c r="D1178" t="s">
        <v>25</v>
      </c>
      <c r="E1178">
        <v>3</v>
      </c>
      <c r="F1178">
        <v>3</v>
      </c>
      <c r="G1178" t="s">
        <v>26</v>
      </c>
      <c r="H1178" t="e">
        <f t="shared" si="36"/>
        <v>#VALUE!</v>
      </c>
      <c r="I1178" t="str">
        <f t="shared" si="37"/>
        <v>-</v>
      </c>
    </row>
    <row r="1179" spans="1:9" x14ac:dyDescent="0.2">
      <c r="A1179">
        <v>354930</v>
      </c>
      <c r="B1179" t="s">
        <v>27</v>
      </c>
      <c r="C1179" t="s">
        <v>8</v>
      </c>
      <c r="D1179" t="s">
        <v>28</v>
      </c>
      <c r="E1179">
        <v>605</v>
      </c>
      <c r="F1179">
        <v>14.21</v>
      </c>
      <c r="G1179" t="s">
        <v>29</v>
      </c>
      <c r="H1179" t="e">
        <f t="shared" si="36"/>
        <v>#VALUE!</v>
      </c>
      <c r="I1179" t="str">
        <f t="shared" si="37"/>
        <v>-</v>
      </c>
    </row>
    <row r="1180" spans="1:9" x14ac:dyDescent="0.2">
      <c r="A1180">
        <v>355142</v>
      </c>
      <c r="B1180" t="s">
        <v>30</v>
      </c>
      <c r="C1180" t="s">
        <v>8</v>
      </c>
      <c r="D1180" t="s">
        <v>31</v>
      </c>
      <c r="E1180">
        <v>3610</v>
      </c>
      <c r="F1180">
        <v>3610</v>
      </c>
      <c r="G1180" t="s">
        <v>15</v>
      </c>
      <c r="H1180" t="str">
        <f t="shared" si="36"/>
        <v>PSI</v>
      </c>
      <c r="I1180">
        <f t="shared" si="37"/>
        <v>52.358623320605524</v>
      </c>
    </row>
    <row r="1181" spans="1:9" x14ac:dyDescent="0.2">
      <c r="A1181">
        <v>355354</v>
      </c>
      <c r="B1181" t="s">
        <v>32</v>
      </c>
      <c r="C1181" t="s">
        <v>8</v>
      </c>
      <c r="D1181" t="s">
        <v>33</v>
      </c>
      <c r="E1181">
        <v>3940</v>
      </c>
      <c r="F1181">
        <v>0.96</v>
      </c>
      <c r="G1181" t="s">
        <v>26</v>
      </c>
      <c r="H1181" t="e">
        <f t="shared" si="36"/>
        <v>#VALUE!</v>
      </c>
      <c r="I1181" t="str">
        <f t="shared" si="37"/>
        <v>-</v>
      </c>
    </row>
    <row r="1182" spans="1:9" x14ac:dyDescent="0.2">
      <c r="A1182">
        <v>355566</v>
      </c>
      <c r="B1182" t="s">
        <v>34</v>
      </c>
      <c r="C1182" t="s">
        <v>8</v>
      </c>
      <c r="D1182" t="s">
        <v>35</v>
      </c>
      <c r="E1182">
        <v>4987</v>
      </c>
      <c r="F1182">
        <v>1.22</v>
      </c>
      <c r="G1182" t="s">
        <v>26</v>
      </c>
      <c r="H1182" t="e">
        <f t="shared" si="36"/>
        <v>#VALUE!</v>
      </c>
      <c r="I1182" t="str">
        <f t="shared" si="37"/>
        <v>-</v>
      </c>
    </row>
    <row r="1183" spans="1:9" x14ac:dyDescent="0.2">
      <c r="A1183">
        <v>355948</v>
      </c>
      <c r="B1183" t="s">
        <v>36</v>
      </c>
      <c r="C1183" t="s">
        <v>8</v>
      </c>
      <c r="D1183" t="s">
        <v>37</v>
      </c>
      <c r="E1183" t="s">
        <v>18</v>
      </c>
      <c r="F1183" t="s">
        <v>18</v>
      </c>
      <c r="G1183" t="s">
        <v>18</v>
      </c>
      <c r="H1183" t="e">
        <f t="shared" si="36"/>
        <v>#VALUE!</v>
      </c>
      <c r="I1183" t="str">
        <f t="shared" si="37"/>
        <v>-</v>
      </c>
    </row>
    <row r="1184" spans="1:9" x14ac:dyDescent="0.2">
      <c r="A1184">
        <v>356330</v>
      </c>
      <c r="B1184" t="s">
        <v>38</v>
      </c>
      <c r="C1184" t="s">
        <v>8</v>
      </c>
      <c r="D1184" t="s">
        <v>39</v>
      </c>
      <c r="E1184" t="s">
        <v>18</v>
      </c>
      <c r="F1184" t="s">
        <v>18</v>
      </c>
      <c r="G1184" t="s">
        <v>18</v>
      </c>
      <c r="H1184" t="e">
        <f t="shared" si="36"/>
        <v>#VALUE!</v>
      </c>
      <c r="I1184" t="str">
        <f t="shared" si="37"/>
        <v>-</v>
      </c>
    </row>
    <row r="1185" spans="1:9" x14ac:dyDescent="0.2">
      <c r="A1185">
        <v>356702</v>
      </c>
      <c r="B1185" t="s">
        <v>40</v>
      </c>
      <c r="C1185" t="s">
        <v>8</v>
      </c>
      <c r="D1185" t="s">
        <v>41</v>
      </c>
      <c r="E1185" t="s">
        <v>18</v>
      </c>
      <c r="F1185" t="s">
        <v>18</v>
      </c>
      <c r="G1185" t="s">
        <v>18</v>
      </c>
      <c r="H1185" t="e">
        <f t="shared" si="36"/>
        <v>#VALUE!</v>
      </c>
      <c r="I1185" t="str">
        <f t="shared" si="37"/>
        <v>-</v>
      </c>
    </row>
    <row r="1186" spans="1:9" x14ac:dyDescent="0.2">
      <c r="A1186">
        <v>356914</v>
      </c>
      <c r="B1186" t="s">
        <v>42</v>
      </c>
      <c r="C1186" t="s">
        <v>8</v>
      </c>
      <c r="D1186" t="s">
        <v>43</v>
      </c>
      <c r="E1186">
        <v>19740</v>
      </c>
      <c r="F1186">
        <v>9.8699999999999992</v>
      </c>
      <c r="G1186" t="s">
        <v>44</v>
      </c>
      <c r="H1186" t="str">
        <f t="shared" si="36"/>
        <v>PSI</v>
      </c>
      <c r="I1186">
        <f t="shared" si="37"/>
        <v>1431.522471397165</v>
      </c>
    </row>
    <row r="1187" spans="1:9" x14ac:dyDescent="0.2">
      <c r="A1187">
        <v>357096</v>
      </c>
      <c r="B1187" t="s">
        <v>45</v>
      </c>
      <c r="C1187" t="s">
        <v>8</v>
      </c>
      <c r="D1187" t="s">
        <v>46</v>
      </c>
      <c r="E1187">
        <v>1</v>
      </c>
      <c r="F1187">
        <v>1</v>
      </c>
      <c r="G1187" t="s">
        <v>15</v>
      </c>
      <c r="H1187" t="str">
        <f t="shared" si="36"/>
        <v>PSI</v>
      </c>
      <c r="I1187">
        <f t="shared" si="37"/>
        <v>1.4503773773020921E-2</v>
      </c>
    </row>
    <row r="1188" spans="1:9" x14ac:dyDescent="0.2">
      <c r="A1188">
        <v>357308</v>
      </c>
      <c r="B1188" t="s">
        <v>47</v>
      </c>
      <c r="C1188" t="s">
        <v>8</v>
      </c>
      <c r="D1188" t="s">
        <v>48</v>
      </c>
      <c r="E1188">
        <v>3232</v>
      </c>
      <c r="F1188">
        <v>323.2</v>
      </c>
      <c r="G1188" t="s">
        <v>49</v>
      </c>
      <c r="H1188" t="e">
        <f t="shared" si="36"/>
        <v>#VALUE!</v>
      </c>
      <c r="I1188" t="str">
        <f t="shared" si="37"/>
        <v>-</v>
      </c>
    </row>
    <row r="1189" spans="1:9" x14ac:dyDescent="0.2">
      <c r="A1189">
        <v>357520</v>
      </c>
      <c r="B1189" t="s">
        <v>50</v>
      </c>
      <c r="C1189" t="s">
        <v>8</v>
      </c>
      <c r="D1189" t="s">
        <v>51</v>
      </c>
      <c r="E1189">
        <v>44663</v>
      </c>
      <c r="F1189">
        <v>1744.65</v>
      </c>
      <c r="G1189" t="s">
        <v>15</v>
      </c>
      <c r="H1189" t="str">
        <f t="shared" si="36"/>
        <v>PSI</v>
      </c>
      <c r="I1189">
        <f t="shared" si="37"/>
        <v>25.304008913100951</v>
      </c>
    </row>
    <row r="1190" spans="1:9" x14ac:dyDescent="0.2">
      <c r="A1190">
        <v>357712</v>
      </c>
      <c r="B1190" t="s">
        <v>52</v>
      </c>
      <c r="C1190" t="s">
        <v>8</v>
      </c>
      <c r="D1190" t="s">
        <v>53</v>
      </c>
      <c r="E1190">
        <v>95</v>
      </c>
      <c r="F1190">
        <v>23.25</v>
      </c>
      <c r="G1190" t="s">
        <v>10</v>
      </c>
      <c r="H1190" t="e">
        <f t="shared" si="36"/>
        <v>#VALUE!</v>
      </c>
      <c r="I1190" t="str">
        <f t="shared" si="37"/>
        <v>-</v>
      </c>
    </row>
    <row r="1191" spans="1:9" x14ac:dyDescent="0.2">
      <c r="A1191">
        <v>357904</v>
      </c>
      <c r="B1191" t="s">
        <v>54</v>
      </c>
      <c r="C1191" t="s">
        <v>8</v>
      </c>
      <c r="D1191" t="s">
        <v>55</v>
      </c>
      <c r="E1191">
        <v>93</v>
      </c>
      <c r="F1191">
        <v>372</v>
      </c>
      <c r="G1191" t="s">
        <v>56</v>
      </c>
      <c r="H1191" t="e">
        <f t="shared" si="36"/>
        <v>#VALUE!</v>
      </c>
      <c r="I1191" t="str">
        <f t="shared" si="37"/>
        <v>-</v>
      </c>
    </row>
    <row r="1192" spans="1:9" x14ac:dyDescent="0.2">
      <c r="A1192">
        <v>358276</v>
      </c>
      <c r="B1192" t="s">
        <v>57</v>
      </c>
      <c r="C1192" t="s">
        <v>8</v>
      </c>
      <c r="D1192" t="s">
        <v>58</v>
      </c>
      <c r="E1192" t="s">
        <v>18</v>
      </c>
      <c r="F1192" t="s">
        <v>18</v>
      </c>
      <c r="G1192" t="s">
        <v>18</v>
      </c>
      <c r="H1192" t="e">
        <f t="shared" si="36"/>
        <v>#VALUE!</v>
      </c>
      <c r="I1192" t="str">
        <f t="shared" si="37"/>
        <v>-</v>
      </c>
    </row>
    <row r="1193" spans="1:9" x14ac:dyDescent="0.2">
      <c r="A1193">
        <v>358657</v>
      </c>
      <c r="B1193" t="s">
        <v>59</v>
      </c>
      <c r="C1193" t="s">
        <v>8</v>
      </c>
      <c r="D1193" t="s">
        <v>60</v>
      </c>
      <c r="E1193" t="s">
        <v>18</v>
      </c>
      <c r="F1193" t="s">
        <v>18</v>
      </c>
      <c r="G1193" t="s">
        <v>18</v>
      </c>
      <c r="H1193" t="e">
        <f t="shared" si="36"/>
        <v>#VALUE!</v>
      </c>
      <c r="I1193" t="str">
        <f t="shared" si="37"/>
        <v>-</v>
      </c>
    </row>
    <row r="1194" spans="1:9" x14ac:dyDescent="0.2">
      <c r="A1194">
        <v>359039</v>
      </c>
      <c r="B1194" t="s">
        <v>61</v>
      </c>
      <c r="C1194" t="s">
        <v>8</v>
      </c>
      <c r="D1194" t="s">
        <v>62</v>
      </c>
      <c r="E1194" t="s">
        <v>18</v>
      </c>
      <c r="F1194" t="s">
        <v>18</v>
      </c>
      <c r="G1194" t="s">
        <v>18</v>
      </c>
      <c r="H1194" t="e">
        <f t="shared" si="36"/>
        <v>#VALUE!</v>
      </c>
      <c r="I1194" t="str">
        <f t="shared" si="37"/>
        <v>-</v>
      </c>
    </row>
    <row r="1195" spans="1:9" x14ac:dyDescent="0.2">
      <c r="A1195">
        <v>359431</v>
      </c>
      <c r="B1195" t="s">
        <v>63</v>
      </c>
      <c r="C1195" t="s">
        <v>8</v>
      </c>
      <c r="D1195" t="s">
        <v>64</v>
      </c>
      <c r="E1195" t="s">
        <v>18</v>
      </c>
      <c r="F1195" t="s">
        <v>18</v>
      </c>
      <c r="G1195" t="s">
        <v>18</v>
      </c>
      <c r="H1195" t="e">
        <f t="shared" si="36"/>
        <v>#VALUE!</v>
      </c>
      <c r="I1195" t="str">
        <f t="shared" si="37"/>
        <v>-</v>
      </c>
    </row>
    <row r="1196" spans="1:9" x14ac:dyDescent="0.2">
      <c r="A1196">
        <v>359693</v>
      </c>
      <c r="B1196" t="s">
        <v>65</v>
      </c>
      <c r="C1196" t="s">
        <v>8</v>
      </c>
      <c r="D1196" t="s">
        <v>66</v>
      </c>
      <c r="E1196">
        <v>28231</v>
      </c>
      <c r="F1196">
        <v>3.45</v>
      </c>
      <c r="G1196" t="s">
        <v>67</v>
      </c>
      <c r="H1196" t="e">
        <f t="shared" si="36"/>
        <v>#VALUE!</v>
      </c>
      <c r="I1196" t="str">
        <f t="shared" si="37"/>
        <v>-</v>
      </c>
    </row>
    <row r="1197" spans="1:9" x14ac:dyDescent="0.2">
      <c r="A1197">
        <v>360075</v>
      </c>
      <c r="B1197" t="s">
        <v>68</v>
      </c>
      <c r="C1197" t="s">
        <v>8</v>
      </c>
      <c r="D1197" t="s">
        <v>69</v>
      </c>
      <c r="E1197" t="s">
        <v>18</v>
      </c>
      <c r="F1197" t="s">
        <v>18</v>
      </c>
      <c r="G1197" t="s">
        <v>18</v>
      </c>
      <c r="H1197" t="e">
        <f t="shared" si="36"/>
        <v>#VALUE!</v>
      </c>
      <c r="I1197" t="str">
        <f t="shared" si="37"/>
        <v>-</v>
      </c>
    </row>
    <row r="1198" spans="1:9" x14ac:dyDescent="0.2">
      <c r="A1198">
        <v>360277</v>
      </c>
      <c r="B1198" t="s">
        <v>7</v>
      </c>
      <c r="C1198" t="s">
        <v>8</v>
      </c>
      <c r="D1198" t="s">
        <v>9</v>
      </c>
      <c r="E1198">
        <v>164</v>
      </c>
      <c r="F1198">
        <v>104</v>
      </c>
      <c r="G1198" t="s">
        <v>10</v>
      </c>
      <c r="H1198" t="e">
        <f t="shared" si="36"/>
        <v>#VALUE!</v>
      </c>
      <c r="I1198" t="str">
        <f t="shared" si="37"/>
        <v>-</v>
      </c>
    </row>
    <row r="1199" spans="1:9" x14ac:dyDescent="0.2">
      <c r="A1199">
        <v>360469</v>
      </c>
      <c r="B1199" t="s">
        <v>11</v>
      </c>
      <c r="C1199" t="s">
        <v>8</v>
      </c>
      <c r="D1199" t="s">
        <v>12</v>
      </c>
      <c r="E1199">
        <v>198</v>
      </c>
      <c r="F1199">
        <v>100.5</v>
      </c>
      <c r="G1199" t="s">
        <v>10</v>
      </c>
      <c r="H1199" t="e">
        <f t="shared" si="36"/>
        <v>#VALUE!</v>
      </c>
      <c r="I1199" t="str">
        <f t="shared" si="37"/>
        <v>-</v>
      </c>
    </row>
    <row r="1200" spans="1:9" x14ac:dyDescent="0.2">
      <c r="A1200">
        <v>360681</v>
      </c>
      <c r="B1200" t="s">
        <v>13</v>
      </c>
      <c r="C1200" t="s">
        <v>8</v>
      </c>
      <c r="D1200" t="s">
        <v>14</v>
      </c>
      <c r="E1200">
        <v>26092</v>
      </c>
      <c r="F1200">
        <v>1019.22</v>
      </c>
      <c r="G1200" t="s">
        <v>15</v>
      </c>
      <c r="H1200" t="str">
        <f t="shared" si="36"/>
        <v>PSI</v>
      </c>
      <c r="I1200">
        <f t="shared" si="37"/>
        <v>14.782536304938382</v>
      </c>
    </row>
    <row r="1201" spans="1:9" x14ac:dyDescent="0.2">
      <c r="A1201">
        <v>361063</v>
      </c>
      <c r="B1201" t="s">
        <v>16</v>
      </c>
      <c r="C1201" t="s">
        <v>8</v>
      </c>
      <c r="D1201" t="s">
        <v>17</v>
      </c>
      <c r="E1201" t="s">
        <v>18</v>
      </c>
      <c r="F1201" t="s">
        <v>18</v>
      </c>
      <c r="G1201" t="s">
        <v>18</v>
      </c>
      <c r="H1201" t="e">
        <f t="shared" si="36"/>
        <v>#VALUE!</v>
      </c>
      <c r="I1201" t="str">
        <f t="shared" si="37"/>
        <v>-</v>
      </c>
    </row>
    <row r="1202" spans="1:9" x14ac:dyDescent="0.2">
      <c r="A1202">
        <v>361275</v>
      </c>
      <c r="B1202" t="s">
        <v>19</v>
      </c>
      <c r="C1202" t="s">
        <v>8</v>
      </c>
      <c r="D1202" t="s">
        <v>20</v>
      </c>
      <c r="E1202">
        <v>13567</v>
      </c>
      <c r="F1202">
        <v>1059.92</v>
      </c>
      <c r="G1202" t="s">
        <v>15</v>
      </c>
      <c r="H1202" t="str">
        <f t="shared" si="36"/>
        <v>PSI</v>
      </c>
      <c r="I1202">
        <f t="shared" si="37"/>
        <v>15.372839897500334</v>
      </c>
    </row>
    <row r="1203" spans="1:9" x14ac:dyDescent="0.2">
      <c r="A1203">
        <v>361487</v>
      </c>
      <c r="B1203" t="s">
        <v>21</v>
      </c>
      <c r="C1203" t="s">
        <v>8</v>
      </c>
      <c r="D1203" t="s">
        <v>22</v>
      </c>
      <c r="E1203">
        <v>11553</v>
      </c>
      <c r="F1203">
        <v>2888.25</v>
      </c>
      <c r="G1203" t="s">
        <v>23</v>
      </c>
      <c r="H1203" t="e">
        <f t="shared" si="36"/>
        <v>#VALUE!</v>
      </c>
      <c r="I1203" t="str">
        <f t="shared" si="37"/>
        <v>-</v>
      </c>
    </row>
    <row r="1204" spans="1:9" x14ac:dyDescent="0.2">
      <c r="A1204">
        <v>361679</v>
      </c>
      <c r="B1204" t="s">
        <v>24</v>
      </c>
      <c r="C1204" t="s">
        <v>8</v>
      </c>
      <c r="D1204" t="s">
        <v>25</v>
      </c>
      <c r="E1204">
        <v>4</v>
      </c>
      <c r="F1204">
        <v>4</v>
      </c>
      <c r="G1204" t="s">
        <v>26</v>
      </c>
      <c r="H1204" t="e">
        <f t="shared" si="36"/>
        <v>#VALUE!</v>
      </c>
      <c r="I1204" t="str">
        <f t="shared" si="37"/>
        <v>-</v>
      </c>
    </row>
    <row r="1205" spans="1:9" x14ac:dyDescent="0.2">
      <c r="A1205">
        <v>361891</v>
      </c>
      <c r="B1205" t="s">
        <v>27</v>
      </c>
      <c r="C1205" t="s">
        <v>8</v>
      </c>
      <c r="D1205" t="s">
        <v>28</v>
      </c>
      <c r="E1205">
        <v>605</v>
      </c>
      <c r="F1205">
        <v>14.21</v>
      </c>
      <c r="G1205" t="s">
        <v>29</v>
      </c>
      <c r="H1205" t="e">
        <f t="shared" si="36"/>
        <v>#VALUE!</v>
      </c>
      <c r="I1205" t="str">
        <f t="shared" si="37"/>
        <v>-</v>
      </c>
    </row>
    <row r="1206" spans="1:9" x14ac:dyDescent="0.2">
      <c r="A1206">
        <v>362103</v>
      </c>
      <c r="B1206" t="s">
        <v>30</v>
      </c>
      <c r="C1206" t="s">
        <v>8</v>
      </c>
      <c r="D1206" t="s">
        <v>31</v>
      </c>
      <c r="E1206">
        <v>4370</v>
      </c>
      <c r="F1206">
        <v>4370</v>
      </c>
      <c r="G1206" t="s">
        <v>15</v>
      </c>
      <c r="H1206" t="str">
        <f t="shared" si="36"/>
        <v>PSI</v>
      </c>
      <c r="I1206">
        <f t="shared" si="37"/>
        <v>63.381491388101423</v>
      </c>
    </row>
    <row r="1207" spans="1:9" x14ac:dyDescent="0.2">
      <c r="A1207">
        <v>362326</v>
      </c>
      <c r="B1207" t="s">
        <v>32</v>
      </c>
      <c r="C1207" t="s">
        <v>8</v>
      </c>
      <c r="D1207" t="s">
        <v>33</v>
      </c>
      <c r="E1207">
        <v>4611</v>
      </c>
      <c r="F1207">
        <v>1.1299999999999999</v>
      </c>
      <c r="G1207" t="s">
        <v>26</v>
      </c>
      <c r="H1207" t="e">
        <f t="shared" si="36"/>
        <v>#VALUE!</v>
      </c>
      <c r="I1207" t="str">
        <f t="shared" si="37"/>
        <v>-</v>
      </c>
    </row>
    <row r="1208" spans="1:9" x14ac:dyDescent="0.2">
      <c r="A1208">
        <v>362538</v>
      </c>
      <c r="B1208" t="s">
        <v>34</v>
      </c>
      <c r="C1208" t="s">
        <v>8</v>
      </c>
      <c r="D1208" t="s">
        <v>35</v>
      </c>
      <c r="E1208">
        <v>4493</v>
      </c>
      <c r="F1208">
        <v>1.1000000000000001</v>
      </c>
      <c r="G1208" t="s">
        <v>26</v>
      </c>
      <c r="H1208" t="e">
        <f t="shared" si="36"/>
        <v>#VALUE!</v>
      </c>
      <c r="I1208" t="str">
        <f t="shared" si="37"/>
        <v>-</v>
      </c>
    </row>
    <row r="1209" spans="1:9" x14ac:dyDescent="0.2">
      <c r="A1209">
        <v>362920</v>
      </c>
      <c r="B1209" t="s">
        <v>36</v>
      </c>
      <c r="C1209" t="s">
        <v>8</v>
      </c>
      <c r="D1209" t="s">
        <v>37</v>
      </c>
      <c r="E1209" t="s">
        <v>18</v>
      </c>
      <c r="F1209" t="s">
        <v>18</v>
      </c>
      <c r="G1209" t="s">
        <v>18</v>
      </c>
      <c r="H1209" t="e">
        <f t="shared" si="36"/>
        <v>#VALUE!</v>
      </c>
      <c r="I1209" t="str">
        <f t="shared" si="37"/>
        <v>-</v>
      </c>
    </row>
    <row r="1210" spans="1:9" x14ac:dyDescent="0.2">
      <c r="A1210">
        <v>363302</v>
      </c>
      <c r="B1210" t="s">
        <v>38</v>
      </c>
      <c r="C1210" t="s">
        <v>8</v>
      </c>
      <c r="D1210" t="s">
        <v>39</v>
      </c>
      <c r="E1210" t="s">
        <v>18</v>
      </c>
      <c r="F1210" t="s">
        <v>18</v>
      </c>
      <c r="G1210" t="s">
        <v>18</v>
      </c>
      <c r="H1210" t="e">
        <f t="shared" si="36"/>
        <v>#VALUE!</v>
      </c>
      <c r="I1210" t="str">
        <f t="shared" si="37"/>
        <v>-</v>
      </c>
    </row>
    <row r="1211" spans="1:9" x14ac:dyDescent="0.2">
      <c r="A1211">
        <v>363684</v>
      </c>
      <c r="B1211" t="s">
        <v>40</v>
      </c>
      <c r="C1211" t="s">
        <v>8</v>
      </c>
      <c r="D1211" t="s">
        <v>41</v>
      </c>
      <c r="E1211" t="s">
        <v>18</v>
      </c>
      <c r="F1211" t="s">
        <v>18</v>
      </c>
      <c r="G1211" t="s">
        <v>18</v>
      </c>
      <c r="H1211" t="e">
        <f t="shared" si="36"/>
        <v>#VALUE!</v>
      </c>
      <c r="I1211" t="str">
        <f t="shared" si="37"/>
        <v>-</v>
      </c>
    </row>
    <row r="1212" spans="1:9" x14ac:dyDescent="0.2">
      <c r="A1212">
        <v>363886</v>
      </c>
      <c r="B1212" t="s">
        <v>42</v>
      </c>
      <c r="C1212" t="s">
        <v>8</v>
      </c>
      <c r="D1212" t="s">
        <v>43</v>
      </c>
      <c r="E1212">
        <v>12752</v>
      </c>
      <c r="F1212">
        <v>6.38</v>
      </c>
      <c r="G1212" t="s">
        <v>44</v>
      </c>
      <c r="H1212" t="str">
        <f t="shared" si="36"/>
        <v>PSI</v>
      </c>
      <c r="I1212">
        <f t="shared" si="37"/>
        <v>925.3407667187347</v>
      </c>
    </row>
    <row r="1213" spans="1:9" x14ac:dyDescent="0.2">
      <c r="A1213">
        <v>364087</v>
      </c>
      <c r="B1213" t="s">
        <v>45</v>
      </c>
      <c r="C1213" t="s">
        <v>8</v>
      </c>
      <c r="D1213" t="s">
        <v>46</v>
      </c>
      <c r="E1213">
        <v>1</v>
      </c>
      <c r="F1213">
        <v>1</v>
      </c>
      <c r="G1213" t="s">
        <v>15</v>
      </c>
      <c r="H1213" t="str">
        <f t="shared" si="36"/>
        <v>PSI</v>
      </c>
      <c r="I1213">
        <f t="shared" si="37"/>
        <v>1.4503773773020921E-2</v>
      </c>
    </row>
    <row r="1214" spans="1:9" x14ac:dyDescent="0.2">
      <c r="A1214">
        <v>364299</v>
      </c>
      <c r="B1214" t="s">
        <v>47</v>
      </c>
      <c r="C1214" t="s">
        <v>8</v>
      </c>
      <c r="D1214" t="s">
        <v>48</v>
      </c>
      <c r="E1214">
        <v>3302</v>
      </c>
      <c r="F1214">
        <v>330.2</v>
      </c>
      <c r="G1214" t="s">
        <v>49</v>
      </c>
      <c r="H1214" t="e">
        <f t="shared" si="36"/>
        <v>#VALUE!</v>
      </c>
      <c r="I1214" t="str">
        <f t="shared" si="37"/>
        <v>-</v>
      </c>
    </row>
    <row r="1215" spans="1:9" x14ac:dyDescent="0.2">
      <c r="A1215">
        <v>364511</v>
      </c>
      <c r="B1215" t="s">
        <v>50</v>
      </c>
      <c r="C1215" t="s">
        <v>8</v>
      </c>
      <c r="D1215" t="s">
        <v>51</v>
      </c>
      <c r="E1215">
        <v>24785</v>
      </c>
      <c r="F1215">
        <v>968.16</v>
      </c>
      <c r="G1215" t="s">
        <v>15</v>
      </c>
      <c r="H1215" t="str">
        <f t="shared" si="36"/>
        <v>PSI</v>
      </c>
      <c r="I1215">
        <f t="shared" si="37"/>
        <v>14.041973616087935</v>
      </c>
    </row>
    <row r="1216" spans="1:9" x14ac:dyDescent="0.2">
      <c r="A1216">
        <v>364693</v>
      </c>
      <c r="B1216" t="s">
        <v>52</v>
      </c>
      <c r="C1216" t="s">
        <v>8</v>
      </c>
      <c r="D1216" t="s">
        <v>53</v>
      </c>
      <c r="E1216">
        <v>97</v>
      </c>
      <c r="F1216">
        <v>24.75</v>
      </c>
      <c r="G1216" t="s">
        <v>10</v>
      </c>
      <c r="H1216" t="e">
        <f t="shared" si="36"/>
        <v>#VALUE!</v>
      </c>
      <c r="I1216" t="str">
        <f t="shared" si="37"/>
        <v>-</v>
      </c>
    </row>
    <row r="1217" spans="1:9" x14ac:dyDescent="0.2">
      <c r="A1217">
        <v>364915</v>
      </c>
      <c r="B1217" t="s">
        <v>54</v>
      </c>
      <c r="C1217" t="s">
        <v>8</v>
      </c>
      <c r="D1217" t="s">
        <v>55</v>
      </c>
      <c r="E1217">
        <v>14</v>
      </c>
      <c r="F1217">
        <v>56</v>
      </c>
      <c r="G1217" t="s">
        <v>56</v>
      </c>
      <c r="H1217" t="e">
        <f t="shared" si="36"/>
        <v>#VALUE!</v>
      </c>
      <c r="I1217" t="str">
        <f t="shared" si="37"/>
        <v>-</v>
      </c>
    </row>
    <row r="1218" spans="1:9" x14ac:dyDescent="0.2">
      <c r="A1218">
        <v>365297</v>
      </c>
      <c r="B1218" t="s">
        <v>57</v>
      </c>
      <c r="C1218" t="s">
        <v>8</v>
      </c>
      <c r="D1218" t="s">
        <v>58</v>
      </c>
      <c r="E1218" t="s">
        <v>18</v>
      </c>
      <c r="F1218" t="s">
        <v>18</v>
      </c>
      <c r="G1218" t="s">
        <v>18</v>
      </c>
      <c r="H1218" t="e">
        <f t="shared" si="36"/>
        <v>#VALUE!</v>
      </c>
      <c r="I1218" t="str">
        <f t="shared" si="37"/>
        <v>-</v>
      </c>
    </row>
    <row r="1219" spans="1:9" x14ac:dyDescent="0.2">
      <c r="A1219">
        <v>365679</v>
      </c>
      <c r="B1219" t="s">
        <v>59</v>
      </c>
      <c r="C1219" t="s">
        <v>8</v>
      </c>
      <c r="D1219" t="s">
        <v>60</v>
      </c>
      <c r="E1219" t="s">
        <v>18</v>
      </c>
      <c r="F1219" t="s">
        <v>18</v>
      </c>
      <c r="G1219" t="s">
        <v>18</v>
      </c>
      <c r="H1219" t="e">
        <f t="shared" ref="H1219:H1282" si="38">IF(FIND("Pa",G1219,1),"PSI","-")</f>
        <v>#VALUE!</v>
      </c>
      <c r="I1219" t="str">
        <f t="shared" ref="I1219:I1282" si="39">IF(G1219="hPa",CONVERT(F1219*100,"Pa","psi"), IF(G1219="MPa",CONVERT(F1219*1000000,"Pa","psi"),"-"))</f>
        <v>-</v>
      </c>
    </row>
    <row r="1220" spans="1:9" x14ac:dyDescent="0.2">
      <c r="A1220">
        <v>366061</v>
      </c>
      <c r="B1220" t="s">
        <v>61</v>
      </c>
      <c r="C1220" t="s">
        <v>8</v>
      </c>
      <c r="D1220" t="s">
        <v>62</v>
      </c>
      <c r="E1220" t="s">
        <v>18</v>
      </c>
      <c r="F1220" t="s">
        <v>18</v>
      </c>
      <c r="G1220" t="s">
        <v>18</v>
      </c>
      <c r="H1220" t="e">
        <f t="shared" si="38"/>
        <v>#VALUE!</v>
      </c>
      <c r="I1220" t="str">
        <f t="shared" si="39"/>
        <v>-</v>
      </c>
    </row>
    <row r="1221" spans="1:9" x14ac:dyDescent="0.2">
      <c r="A1221">
        <v>366433</v>
      </c>
      <c r="B1221" t="s">
        <v>63</v>
      </c>
      <c r="C1221" t="s">
        <v>8</v>
      </c>
      <c r="D1221" t="s">
        <v>64</v>
      </c>
      <c r="E1221" t="s">
        <v>18</v>
      </c>
      <c r="F1221" t="s">
        <v>18</v>
      </c>
      <c r="G1221" t="s">
        <v>18</v>
      </c>
      <c r="H1221" t="e">
        <f t="shared" si="38"/>
        <v>#VALUE!</v>
      </c>
      <c r="I1221" t="str">
        <f t="shared" si="39"/>
        <v>-</v>
      </c>
    </row>
    <row r="1222" spans="1:9" x14ac:dyDescent="0.2">
      <c r="A1222">
        <v>366685</v>
      </c>
      <c r="B1222" t="s">
        <v>65</v>
      </c>
      <c r="C1222" t="s">
        <v>8</v>
      </c>
      <c r="D1222" t="s">
        <v>66</v>
      </c>
      <c r="E1222">
        <v>28386</v>
      </c>
      <c r="F1222">
        <v>3.47</v>
      </c>
      <c r="G1222" t="s">
        <v>67</v>
      </c>
      <c r="H1222" t="e">
        <f t="shared" si="38"/>
        <v>#VALUE!</v>
      </c>
      <c r="I1222" t="str">
        <f t="shared" si="39"/>
        <v>-</v>
      </c>
    </row>
    <row r="1223" spans="1:9" x14ac:dyDescent="0.2">
      <c r="A1223">
        <v>367057</v>
      </c>
      <c r="B1223" t="s">
        <v>68</v>
      </c>
      <c r="C1223" t="s">
        <v>8</v>
      </c>
      <c r="D1223" t="s">
        <v>69</v>
      </c>
      <c r="E1223" t="s">
        <v>18</v>
      </c>
      <c r="F1223" t="s">
        <v>18</v>
      </c>
      <c r="G1223" t="s">
        <v>18</v>
      </c>
      <c r="H1223" t="e">
        <f t="shared" si="38"/>
        <v>#VALUE!</v>
      </c>
      <c r="I1223" t="str">
        <f t="shared" si="39"/>
        <v>-</v>
      </c>
    </row>
    <row r="1224" spans="1:9" x14ac:dyDescent="0.2">
      <c r="A1224">
        <v>367259</v>
      </c>
      <c r="B1224" t="s">
        <v>7</v>
      </c>
      <c r="C1224" t="s">
        <v>8</v>
      </c>
      <c r="D1224" t="s">
        <v>9</v>
      </c>
      <c r="E1224">
        <v>164</v>
      </c>
      <c r="F1224">
        <v>104</v>
      </c>
      <c r="G1224" t="s">
        <v>10</v>
      </c>
      <c r="H1224" t="e">
        <f t="shared" si="38"/>
        <v>#VALUE!</v>
      </c>
      <c r="I1224" t="str">
        <f t="shared" si="39"/>
        <v>-</v>
      </c>
    </row>
    <row r="1225" spans="1:9" x14ac:dyDescent="0.2">
      <c r="A1225">
        <v>367451</v>
      </c>
      <c r="B1225" t="s">
        <v>11</v>
      </c>
      <c r="C1225" t="s">
        <v>8</v>
      </c>
      <c r="D1225" t="s">
        <v>12</v>
      </c>
      <c r="E1225">
        <v>196</v>
      </c>
      <c r="F1225">
        <v>99</v>
      </c>
      <c r="G1225" t="s">
        <v>10</v>
      </c>
      <c r="H1225" t="e">
        <f t="shared" si="38"/>
        <v>#VALUE!</v>
      </c>
      <c r="I1225" t="str">
        <f t="shared" si="39"/>
        <v>-</v>
      </c>
    </row>
    <row r="1226" spans="1:9" x14ac:dyDescent="0.2">
      <c r="A1226">
        <v>367663</v>
      </c>
      <c r="B1226" t="s">
        <v>13</v>
      </c>
      <c r="C1226" t="s">
        <v>8</v>
      </c>
      <c r="D1226" t="s">
        <v>14</v>
      </c>
      <c r="E1226">
        <v>26060</v>
      </c>
      <c r="F1226">
        <v>1017.97</v>
      </c>
      <c r="G1226" t="s">
        <v>15</v>
      </c>
      <c r="H1226" t="str">
        <f t="shared" si="38"/>
        <v>PSI</v>
      </c>
      <c r="I1226">
        <f t="shared" si="39"/>
        <v>14.764406587722107</v>
      </c>
    </row>
    <row r="1227" spans="1:9" x14ac:dyDescent="0.2">
      <c r="A1227">
        <v>368055</v>
      </c>
      <c r="B1227" t="s">
        <v>16</v>
      </c>
      <c r="C1227" t="s">
        <v>8</v>
      </c>
      <c r="D1227" t="s">
        <v>17</v>
      </c>
      <c r="E1227" t="s">
        <v>18</v>
      </c>
      <c r="F1227" t="s">
        <v>18</v>
      </c>
      <c r="G1227" t="s">
        <v>18</v>
      </c>
      <c r="H1227" t="e">
        <f t="shared" si="38"/>
        <v>#VALUE!</v>
      </c>
      <c r="I1227" t="str">
        <f t="shared" si="39"/>
        <v>-</v>
      </c>
    </row>
    <row r="1228" spans="1:9" x14ac:dyDescent="0.2">
      <c r="A1228">
        <v>368267</v>
      </c>
      <c r="B1228" t="s">
        <v>19</v>
      </c>
      <c r="C1228" t="s">
        <v>8</v>
      </c>
      <c r="D1228" t="s">
        <v>20</v>
      </c>
      <c r="E1228">
        <v>13488</v>
      </c>
      <c r="F1228">
        <v>1053.75</v>
      </c>
      <c r="G1228" t="s">
        <v>15</v>
      </c>
      <c r="H1228" t="str">
        <f t="shared" si="38"/>
        <v>PSI</v>
      </c>
      <c r="I1228">
        <f t="shared" si="39"/>
        <v>15.283351613320795</v>
      </c>
    </row>
    <row r="1229" spans="1:9" x14ac:dyDescent="0.2">
      <c r="A1229">
        <v>368479</v>
      </c>
      <c r="B1229" t="s">
        <v>21</v>
      </c>
      <c r="C1229" t="s">
        <v>8</v>
      </c>
      <c r="D1229" t="s">
        <v>22</v>
      </c>
      <c r="E1229">
        <v>9675</v>
      </c>
      <c r="F1229">
        <v>2418.75</v>
      </c>
      <c r="G1229" t="s">
        <v>23</v>
      </c>
      <c r="H1229" t="e">
        <f t="shared" si="38"/>
        <v>#VALUE!</v>
      </c>
      <c r="I1229" t="str">
        <f t="shared" si="39"/>
        <v>-</v>
      </c>
    </row>
    <row r="1230" spans="1:9" x14ac:dyDescent="0.2">
      <c r="A1230">
        <v>368671</v>
      </c>
      <c r="B1230" t="s">
        <v>24</v>
      </c>
      <c r="C1230" t="s">
        <v>8</v>
      </c>
      <c r="D1230" t="s">
        <v>25</v>
      </c>
      <c r="E1230">
        <v>3</v>
      </c>
      <c r="F1230">
        <v>3</v>
      </c>
      <c r="G1230" t="s">
        <v>26</v>
      </c>
      <c r="H1230" t="e">
        <f t="shared" si="38"/>
        <v>#VALUE!</v>
      </c>
      <c r="I1230" t="str">
        <f t="shared" si="39"/>
        <v>-</v>
      </c>
    </row>
    <row r="1231" spans="1:9" x14ac:dyDescent="0.2">
      <c r="A1231">
        <v>368883</v>
      </c>
      <c r="B1231" t="s">
        <v>27</v>
      </c>
      <c r="C1231" t="s">
        <v>8</v>
      </c>
      <c r="D1231" t="s">
        <v>28</v>
      </c>
      <c r="E1231">
        <v>605</v>
      </c>
      <c r="F1231">
        <v>14.21</v>
      </c>
      <c r="G1231" t="s">
        <v>29</v>
      </c>
      <c r="H1231" t="e">
        <f t="shared" si="38"/>
        <v>#VALUE!</v>
      </c>
      <c r="I1231" t="str">
        <f t="shared" si="39"/>
        <v>-</v>
      </c>
    </row>
    <row r="1232" spans="1:9" x14ac:dyDescent="0.2">
      <c r="A1232">
        <v>369096</v>
      </c>
      <c r="B1232" t="s">
        <v>30</v>
      </c>
      <c r="C1232" t="s">
        <v>8</v>
      </c>
      <c r="D1232" t="s">
        <v>31</v>
      </c>
      <c r="E1232">
        <v>4115</v>
      </c>
      <c r="F1232">
        <v>4115</v>
      </c>
      <c r="G1232" t="s">
        <v>15</v>
      </c>
      <c r="H1232" t="str">
        <f t="shared" si="38"/>
        <v>PSI</v>
      </c>
      <c r="I1232">
        <f t="shared" si="39"/>
        <v>59.683029075981089</v>
      </c>
    </row>
    <row r="1233" spans="1:9" x14ac:dyDescent="0.2">
      <c r="A1233">
        <v>369308</v>
      </c>
      <c r="B1233" t="s">
        <v>32</v>
      </c>
      <c r="C1233" t="s">
        <v>8</v>
      </c>
      <c r="D1233" t="s">
        <v>33</v>
      </c>
      <c r="E1233">
        <v>3692</v>
      </c>
      <c r="F1233">
        <v>0.9</v>
      </c>
      <c r="G1233" t="s">
        <v>26</v>
      </c>
      <c r="H1233" t="e">
        <f t="shared" si="38"/>
        <v>#VALUE!</v>
      </c>
      <c r="I1233" t="str">
        <f t="shared" si="39"/>
        <v>-</v>
      </c>
    </row>
    <row r="1234" spans="1:9" x14ac:dyDescent="0.2">
      <c r="A1234">
        <v>369520</v>
      </c>
      <c r="B1234" t="s">
        <v>34</v>
      </c>
      <c r="C1234" t="s">
        <v>8</v>
      </c>
      <c r="D1234" t="s">
        <v>35</v>
      </c>
      <c r="E1234">
        <v>3824</v>
      </c>
      <c r="F1234">
        <v>0.93</v>
      </c>
      <c r="G1234" t="s">
        <v>26</v>
      </c>
      <c r="H1234" t="e">
        <f t="shared" si="38"/>
        <v>#VALUE!</v>
      </c>
      <c r="I1234" t="str">
        <f t="shared" si="39"/>
        <v>-</v>
      </c>
    </row>
    <row r="1235" spans="1:9" x14ac:dyDescent="0.2">
      <c r="A1235">
        <v>369902</v>
      </c>
      <c r="B1235" t="s">
        <v>36</v>
      </c>
      <c r="C1235" t="s">
        <v>8</v>
      </c>
      <c r="D1235" t="s">
        <v>37</v>
      </c>
      <c r="E1235" t="s">
        <v>18</v>
      </c>
      <c r="F1235" t="s">
        <v>18</v>
      </c>
      <c r="G1235" t="s">
        <v>18</v>
      </c>
      <c r="H1235" t="e">
        <f t="shared" si="38"/>
        <v>#VALUE!</v>
      </c>
      <c r="I1235" t="str">
        <f t="shared" si="39"/>
        <v>-</v>
      </c>
    </row>
    <row r="1236" spans="1:9" x14ac:dyDescent="0.2">
      <c r="A1236">
        <v>370284</v>
      </c>
      <c r="B1236" t="s">
        <v>38</v>
      </c>
      <c r="C1236" t="s">
        <v>8</v>
      </c>
      <c r="D1236" t="s">
        <v>39</v>
      </c>
      <c r="E1236" t="s">
        <v>18</v>
      </c>
      <c r="F1236" t="s">
        <v>18</v>
      </c>
      <c r="G1236" t="s">
        <v>18</v>
      </c>
      <c r="H1236" t="e">
        <f t="shared" si="38"/>
        <v>#VALUE!</v>
      </c>
      <c r="I1236" t="str">
        <f t="shared" si="39"/>
        <v>-</v>
      </c>
    </row>
    <row r="1237" spans="1:9" x14ac:dyDescent="0.2">
      <c r="A1237">
        <v>370666</v>
      </c>
      <c r="B1237" t="s">
        <v>40</v>
      </c>
      <c r="C1237" t="s">
        <v>8</v>
      </c>
      <c r="D1237" t="s">
        <v>41</v>
      </c>
      <c r="E1237" t="s">
        <v>18</v>
      </c>
      <c r="F1237" t="s">
        <v>18</v>
      </c>
      <c r="G1237" t="s">
        <v>18</v>
      </c>
      <c r="H1237" t="e">
        <f t="shared" si="38"/>
        <v>#VALUE!</v>
      </c>
      <c r="I1237" t="str">
        <f t="shared" si="39"/>
        <v>-</v>
      </c>
    </row>
    <row r="1238" spans="1:9" x14ac:dyDescent="0.2">
      <c r="A1238">
        <v>370868</v>
      </c>
      <c r="B1238" t="s">
        <v>42</v>
      </c>
      <c r="C1238" t="s">
        <v>8</v>
      </c>
      <c r="D1238" t="s">
        <v>43</v>
      </c>
      <c r="E1238">
        <v>17452</v>
      </c>
      <c r="F1238">
        <v>8.73</v>
      </c>
      <c r="G1238" t="s">
        <v>44</v>
      </c>
      <c r="H1238" t="str">
        <f t="shared" si="38"/>
        <v>PSI</v>
      </c>
      <c r="I1238">
        <f t="shared" si="39"/>
        <v>1266.1794503847264</v>
      </c>
    </row>
    <row r="1239" spans="1:9" x14ac:dyDescent="0.2">
      <c r="A1239">
        <v>371060</v>
      </c>
      <c r="B1239" t="s">
        <v>45</v>
      </c>
      <c r="C1239" t="s">
        <v>8</v>
      </c>
      <c r="D1239" t="s">
        <v>46</v>
      </c>
      <c r="E1239">
        <v>1</v>
      </c>
      <c r="F1239">
        <v>1</v>
      </c>
      <c r="G1239" t="s">
        <v>15</v>
      </c>
      <c r="H1239" t="str">
        <f t="shared" si="38"/>
        <v>PSI</v>
      </c>
      <c r="I1239">
        <f t="shared" si="39"/>
        <v>1.4503773773020921E-2</v>
      </c>
    </row>
    <row r="1240" spans="1:9" x14ac:dyDescent="0.2">
      <c r="A1240">
        <v>371272</v>
      </c>
      <c r="B1240" t="s">
        <v>47</v>
      </c>
      <c r="C1240" t="s">
        <v>8</v>
      </c>
      <c r="D1240" t="s">
        <v>48</v>
      </c>
      <c r="E1240">
        <v>3372</v>
      </c>
      <c r="F1240">
        <v>337.2</v>
      </c>
      <c r="G1240" t="s">
        <v>49</v>
      </c>
      <c r="H1240" t="e">
        <f t="shared" si="38"/>
        <v>#VALUE!</v>
      </c>
      <c r="I1240" t="str">
        <f t="shared" si="39"/>
        <v>-</v>
      </c>
    </row>
    <row r="1241" spans="1:9" x14ac:dyDescent="0.2">
      <c r="A1241">
        <v>371474</v>
      </c>
      <c r="B1241" t="s">
        <v>50</v>
      </c>
      <c r="C1241" t="s">
        <v>8</v>
      </c>
      <c r="D1241" t="s">
        <v>51</v>
      </c>
      <c r="E1241">
        <v>24746</v>
      </c>
      <c r="F1241">
        <v>966.64</v>
      </c>
      <c r="G1241" t="s">
        <v>15</v>
      </c>
      <c r="H1241" t="str">
        <f t="shared" si="38"/>
        <v>PSI</v>
      </c>
      <c r="I1241">
        <f t="shared" si="39"/>
        <v>14.019927879952943</v>
      </c>
    </row>
    <row r="1242" spans="1:9" x14ac:dyDescent="0.2">
      <c r="A1242">
        <v>371656</v>
      </c>
      <c r="B1242" t="s">
        <v>52</v>
      </c>
      <c r="C1242" t="s">
        <v>8</v>
      </c>
      <c r="D1242" t="s">
        <v>53</v>
      </c>
      <c r="E1242">
        <v>96</v>
      </c>
      <c r="F1242">
        <v>24</v>
      </c>
      <c r="G1242" t="s">
        <v>10</v>
      </c>
      <c r="H1242" t="e">
        <f t="shared" si="38"/>
        <v>#VALUE!</v>
      </c>
      <c r="I1242" t="str">
        <f t="shared" si="39"/>
        <v>-</v>
      </c>
    </row>
    <row r="1243" spans="1:9" x14ac:dyDescent="0.2">
      <c r="A1243">
        <v>371848</v>
      </c>
      <c r="B1243" t="s">
        <v>54</v>
      </c>
      <c r="C1243" t="s">
        <v>8</v>
      </c>
      <c r="D1243" t="s">
        <v>55</v>
      </c>
      <c r="E1243">
        <v>24</v>
      </c>
      <c r="F1243">
        <v>96</v>
      </c>
      <c r="G1243" t="s">
        <v>56</v>
      </c>
      <c r="H1243" t="e">
        <f t="shared" si="38"/>
        <v>#VALUE!</v>
      </c>
      <c r="I1243" t="str">
        <f t="shared" si="39"/>
        <v>-</v>
      </c>
    </row>
    <row r="1244" spans="1:9" x14ac:dyDescent="0.2">
      <c r="A1244">
        <v>372230</v>
      </c>
      <c r="B1244" t="s">
        <v>57</v>
      </c>
      <c r="C1244" t="s">
        <v>8</v>
      </c>
      <c r="D1244" t="s">
        <v>58</v>
      </c>
      <c r="E1244" t="s">
        <v>18</v>
      </c>
      <c r="F1244" t="s">
        <v>18</v>
      </c>
      <c r="G1244" t="s">
        <v>18</v>
      </c>
      <c r="H1244" t="e">
        <f t="shared" si="38"/>
        <v>#VALUE!</v>
      </c>
      <c r="I1244" t="str">
        <f t="shared" si="39"/>
        <v>-</v>
      </c>
    </row>
    <row r="1245" spans="1:9" x14ac:dyDescent="0.2">
      <c r="A1245">
        <v>372612</v>
      </c>
      <c r="B1245" t="s">
        <v>59</v>
      </c>
      <c r="C1245" t="s">
        <v>8</v>
      </c>
      <c r="D1245" t="s">
        <v>60</v>
      </c>
      <c r="E1245" t="s">
        <v>18</v>
      </c>
      <c r="F1245" t="s">
        <v>18</v>
      </c>
      <c r="G1245" t="s">
        <v>18</v>
      </c>
      <c r="H1245" t="e">
        <f t="shared" si="38"/>
        <v>#VALUE!</v>
      </c>
      <c r="I1245" t="str">
        <f t="shared" si="39"/>
        <v>-</v>
      </c>
    </row>
    <row r="1246" spans="1:9" x14ac:dyDescent="0.2">
      <c r="A1246">
        <v>372994</v>
      </c>
      <c r="B1246" t="s">
        <v>61</v>
      </c>
      <c r="C1246" t="s">
        <v>8</v>
      </c>
      <c r="D1246" t="s">
        <v>62</v>
      </c>
      <c r="E1246" t="s">
        <v>18</v>
      </c>
      <c r="F1246" t="s">
        <v>18</v>
      </c>
      <c r="G1246" t="s">
        <v>18</v>
      </c>
      <c r="H1246" t="e">
        <f t="shared" si="38"/>
        <v>#VALUE!</v>
      </c>
      <c r="I1246" t="str">
        <f t="shared" si="39"/>
        <v>-</v>
      </c>
    </row>
    <row r="1247" spans="1:9" x14ac:dyDescent="0.2">
      <c r="A1247">
        <v>373376</v>
      </c>
      <c r="B1247" t="s">
        <v>63</v>
      </c>
      <c r="C1247" t="s">
        <v>8</v>
      </c>
      <c r="D1247" t="s">
        <v>64</v>
      </c>
      <c r="E1247" t="s">
        <v>18</v>
      </c>
      <c r="F1247" t="s">
        <v>18</v>
      </c>
      <c r="G1247" t="s">
        <v>18</v>
      </c>
      <c r="H1247" t="e">
        <f t="shared" si="38"/>
        <v>#VALUE!</v>
      </c>
      <c r="I1247" t="str">
        <f t="shared" si="39"/>
        <v>-</v>
      </c>
    </row>
    <row r="1248" spans="1:9" x14ac:dyDescent="0.2">
      <c r="A1248">
        <v>373638</v>
      </c>
      <c r="B1248" t="s">
        <v>65</v>
      </c>
      <c r="C1248" t="s">
        <v>8</v>
      </c>
      <c r="D1248" t="s">
        <v>66</v>
      </c>
      <c r="E1248">
        <v>28479</v>
      </c>
      <c r="F1248">
        <v>3.48</v>
      </c>
      <c r="G1248" t="s">
        <v>67</v>
      </c>
      <c r="H1248" t="e">
        <f t="shared" si="38"/>
        <v>#VALUE!</v>
      </c>
      <c r="I1248" t="str">
        <f t="shared" si="39"/>
        <v>-</v>
      </c>
    </row>
    <row r="1249" spans="1:9" x14ac:dyDescent="0.2">
      <c r="A1249">
        <v>374010</v>
      </c>
      <c r="B1249" t="s">
        <v>68</v>
      </c>
      <c r="C1249" t="s">
        <v>8</v>
      </c>
      <c r="D1249" t="s">
        <v>69</v>
      </c>
      <c r="E1249" t="s">
        <v>18</v>
      </c>
      <c r="F1249" t="s">
        <v>18</v>
      </c>
      <c r="G1249" t="s">
        <v>18</v>
      </c>
      <c r="H1249" t="e">
        <f t="shared" si="38"/>
        <v>#VALUE!</v>
      </c>
      <c r="I1249" t="str">
        <f t="shared" si="39"/>
        <v>-</v>
      </c>
    </row>
    <row r="1250" spans="1:9" x14ac:dyDescent="0.2">
      <c r="A1250">
        <v>374212</v>
      </c>
      <c r="B1250" t="s">
        <v>7</v>
      </c>
      <c r="C1250" t="s">
        <v>8</v>
      </c>
      <c r="D1250" t="s">
        <v>9</v>
      </c>
      <c r="E1250">
        <v>164</v>
      </c>
      <c r="F1250">
        <v>104</v>
      </c>
      <c r="G1250" t="s">
        <v>10</v>
      </c>
      <c r="H1250" t="e">
        <f t="shared" si="38"/>
        <v>#VALUE!</v>
      </c>
      <c r="I1250" t="str">
        <f t="shared" si="39"/>
        <v>-</v>
      </c>
    </row>
    <row r="1251" spans="1:9" x14ac:dyDescent="0.2">
      <c r="A1251">
        <v>374404</v>
      </c>
      <c r="B1251" t="s">
        <v>11</v>
      </c>
      <c r="C1251" t="s">
        <v>8</v>
      </c>
      <c r="D1251" t="s">
        <v>12</v>
      </c>
      <c r="E1251">
        <v>193</v>
      </c>
      <c r="F1251">
        <v>96.75</v>
      </c>
      <c r="G1251" t="s">
        <v>10</v>
      </c>
      <c r="H1251" t="e">
        <f t="shared" si="38"/>
        <v>#VALUE!</v>
      </c>
      <c r="I1251" t="str">
        <f t="shared" si="39"/>
        <v>-</v>
      </c>
    </row>
    <row r="1252" spans="1:9" x14ac:dyDescent="0.2">
      <c r="A1252">
        <v>374616</v>
      </c>
      <c r="B1252" t="s">
        <v>13</v>
      </c>
      <c r="C1252" t="s">
        <v>8</v>
      </c>
      <c r="D1252" t="s">
        <v>14</v>
      </c>
      <c r="E1252">
        <v>26029</v>
      </c>
      <c r="F1252">
        <v>1016.76</v>
      </c>
      <c r="G1252" t="s">
        <v>15</v>
      </c>
      <c r="H1252" t="str">
        <f t="shared" si="38"/>
        <v>PSI</v>
      </c>
      <c r="I1252">
        <f t="shared" si="39"/>
        <v>14.746857021456751</v>
      </c>
    </row>
    <row r="1253" spans="1:9" x14ac:dyDescent="0.2">
      <c r="A1253">
        <v>374998</v>
      </c>
      <c r="B1253" t="s">
        <v>16</v>
      </c>
      <c r="C1253" t="s">
        <v>8</v>
      </c>
      <c r="D1253" t="s">
        <v>17</v>
      </c>
      <c r="E1253" t="s">
        <v>18</v>
      </c>
      <c r="F1253" t="s">
        <v>18</v>
      </c>
      <c r="G1253" t="s">
        <v>18</v>
      </c>
      <c r="H1253" t="e">
        <f t="shared" si="38"/>
        <v>#VALUE!</v>
      </c>
      <c r="I1253" t="str">
        <f t="shared" si="39"/>
        <v>-</v>
      </c>
    </row>
    <row r="1254" spans="1:9" x14ac:dyDescent="0.2">
      <c r="A1254">
        <v>375210</v>
      </c>
      <c r="B1254" t="s">
        <v>19</v>
      </c>
      <c r="C1254" t="s">
        <v>8</v>
      </c>
      <c r="D1254" t="s">
        <v>20</v>
      </c>
      <c r="E1254">
        <v>13390</v>
      </c>
      <c r="F1254">
        <v>1046.0899999999999</v>
      </c>
      <c r="G1254" t="s">
        <v>15</v>
      </c>
      <c r="H1254" t="str">
        <f t="shared" si="38"/>
        <v>PSI</v>
      </c>
      <c r="I1254">
        <f t="shared" si="39"/>
        <v>15.172252706219453</v>
      </c>
    </row>
    <row r="1255" spans="1:9" x14ac:dyDescent="0.2">
      <c r="A1255">
        <v>375422</v>
      </c>
      <c r="B1255" t="s">
        <v>21</v>
      </c>
      <c r="C1255" t="s">
        <v>8</v>
      </c>
      <c r="D1255" t="s">
        <v>22</v>
      </c>
      <c r="E1255">
        <v>11033</v>
      </c>
      <c r="F1255">
        <v>2758.25</v>
      </c>
      <c r="G1255" t="s">
        <v>23</v>
      </c>
      <c r="H1255" t="e">
        <f t="shared" si="38"/>
        <v>#VALUE!</v>
      </c>
      <c r="I1255" t="str">
        <f t="shared" si="39"/>
        <v>-</v>
      </c>
    </row>
    <row r="1256" spans="1:9" x14ac:dyDescent="0.2">
      <c r="A1256">
        <v>375614</v>
      </c>
      <c r="B1256" t="s">
        <v>24</v>
      </c>
      <c r="C1256" t="s">
        <v>8</v>
      </c>
      <c r="D1256" t="s">
        <v>25</v>
      </c>
      <c r="E1256">
        <v>3</v>
      </c>
      <c r="F1256">
        <v>3</v>
      </c>
      <c r="G1256" t="s">
        <v>26</v>
      </c>
      <c r="H1256" t="e">
        <f t="shared" si="38"/>
        <v>#VALUE!</v>
      </c>
      <c r="I1256" t="str">
        <f t="shared" si="39"/>
        <v>-</v>
      </c>
    </row>
    <row r="1257" spans="1:9" x14ac:dyDescent="0.2">
      <c r="A1257">
        <v>375816</v>
      </c>
      <c r="B1257" t="s">
        <v>27</v>
      </c>
      <c r="C1257" t="s">
        <v>8</v>
      </c>
      <c r="D1257" t="s">
        <v>28</v>
      </c>
      <c r="E1257">
        <v>606</v>
      </c>
      <c r="F1257">
        <v>14.23</v>
      </c>
      <c r="G1257" t="s">
        <v>29</v>
      </c>
      <c r="H1257" t="e">
        <f t="shared" si="38"/>
        <v>#VALUE!</v>
      </c>
      <c r="I1257" t="str">
        <f t="shared" si="39"/>
        <v>-</v>
      </c>
    </row>
    <row r="1258" spans="1:9" x14ac:dyDescent="0.2">
      <c r="A1258">
        <v>376028</v>
      </c>
      <c r="B1258" t="s">
        <v>30</v>
      </c>
      <c r="C1258" t="s">
        <v>8</v>
      </c>
      <c r="D1258" t="s">
        <v>31</v>
      </c>
      <c r="E1258">
        <v>2988</v>
      </c>
      <c r="F1258">
        <v>2988</v>
      </c>
      <c r="G1258" t="s">
        <v>15</v>
      </c>
      <c r="H1258" t="str">
        <f t="shared" si="38"/>
        <v>PSI</v>
      </c>
      <c r="I1258">
        <f t="shared" si="39"/>
        <v>43.337276033786509</v>
      </c>
    </row>
    <row r="1259" spans="1:9" x14ac:dyDescent="0.2">
      <c r="A1259">
        <v>376240</v>
      </c>
      <c r="B1259" t="s">
        <v>32</v>
      </c>
      <c r="C1259" t="s">
        <v>8</v>
      </c>
      <c r="D1259" t="s">
        <v>33</v>
      </c>
      <c r="E1259">
        <v>4056</v>
      </c>
      <c r="F1259">
        <v>0.99</v>
      </c>
      <c r="G1259" t="s">
        <v>26</v>
      </c>
      <c r="H1259" t="e">
        <f t="shared" si="38"/>
        <v>#VALUE!</v>
      </c>
      <c r="I1259" t="str">
        <f t="shared" si="39"/>
        <v>-</v>
      </c>
    </row>
    <row r="1260" spans="1:9" x14ac:dyDescent="0.2">
      <c r="A1260">
        <v>376453</v>
      </c>
      <c r="B1260" t="s">
        <v>34</v>
      </c>
      <c r="C1260" t="s">
        <v>8</v>
      </c>
      <c r="D1260" t="s">
        <v>35</v>
      </c>
      <c r="E1260">
        <v>3717</v>
      </c>
      <c r="F1260">
        <v>0.91</v>
      </c>
      <c r="G1260" t="s">
        <v>26</v>
      </c>
      <c r="H1260" t="e">
        <f t="shared" si="38"/>
        <v>#VALUE!</v>
      </c>
      <c r="I1260" t="str">
        <f t="shared" si="39"/>
        <v>-</v>
      </c>
    </row>
    <row r="1261" spans="1:9" x14ac:dyDescent="0.2">
      <c r="A1261">
        <v>376835</v>
      </c>
      <c r="B1261" t="s">
        <v>36</v>
      </c>
      <c r="C1261" t="s">
        <v>8</v>
      </c>
      <c r="D1261" t="s">
        <v>37</v>
      </c>
      <c r="E1261" t="s">
        <v>18</v>
      </c>
      <c r="F1261" t="s">
        <v>18</v>
      </c>
      <c r="G1261" t="s">
        <v>18</v>
      </c>
      <c r="H1261" t="e">
        <f t="shared" si="38"/>
        <v>#VALUE!</v>
      </c>
      <c r="I1261" t="str">
        <f t="shared" si="39"/>
        <v>-</v>
      </c>
    </row>
    <row r="1262" spans="1:9" x14ac:dyDescent="0.2">
      <c r="A1262">
        <v>377217</v>
      </c>
      <c r="B1262" t="s">
        <v>38</v>
      </c>
      <c r="C1262" t="s">
        <v>8</v>
      </c>
      <c r="D1262" t="s">
        <v>39</v>
      </c>
      <c r="E1262" t="s">
        <v>18</v>
      </c>
      <c r="F1262" t="s">
        <v>18</v>
      </c>
      <c r="G1262" t="s">
        <v>18</v>
      </c>
      <c r="H1262" t="e">
        <f t="shared" si="38"/>
        <v>#VALUE!</v>
      </c>
      <c r="I1262" t="str">
        <f t="shared" si="39"/>
        <v>-</v>
      </c>
    </row>
    <row r="1263" spans="1:9" x14ac:dyDescent="0.2">
      <c r="A1263">
        <v>377599</v>
      </c>
      <c r="B1263" t="s">
        <v>40</v>
      </c>
      <c r="C1263" t="s">
        <v>8</v>
      </c>
      <c r="D1263" t="s">
        <v>41</v>
      </c>
      <c r="E1263" t="s">
        <v>18</v>
      </c>
      <c r="F1263" t="s">
        <v>18</v>
      </c>
      <c r="G1263" t="s">
        <v>18</v>
      </c>
      <c r="H1263" t="e">
        <f t="shared" si="38"/>
        <v>#VALUE!</v>
      </c>
      <c r="I1263" t="str">
        <f t="shared" si="39"/>
        <v>-</v>
      </c>
    </row>
    <row r="1264" spans="1:9" x14ac:dyDescent="0.2">
      <c r="A1264">
        <v>377811</v>
      </c>
      <c r="B1264" t="s">
        <v>42</v>
      </c>
      <c r="C1264" t="s">
        <v>8</v>
      </c>
      <c r="D1264" t="s">
        <v>43</v>
      </c>
      <c r="E1264">
        <v>22006</v>
      </c>
      <c r="F1264">
        <v>11</v>
      </c>
      <c r="G1264" t="s">
        <v>44</v>
      </c>
      <c r="H1264" t="str">
        <f t="shared" si="38"/>
        <v>PSI</v>
      </c>
      <c r="I1264">
        <f t="shared" si="39"/>
        <v>1595.4151150323012</v>
      </c>
    </row>
    <row r="1265" spans="1:9" x14ac:dyDescent="0.2">
      <c r="A1265">
        <v>378003</v>
      </c>
      <c r="B1265" t="s">
        <v>45</v>
      </c>
      <c r="C1265" t="s">
        <v>8</v>
      </c>
      <c r="D1265" t="s">
        <v>46</v>
      </c>
      <c r="E1265">
        <v>1</v>
      </c>
      <c r="F1265">
        <v>1</v>
      </c>
      <c r="G1265" t="s">
        <v>15</v>
      </c>
      <c r="H1265" t="str">
        <f t="shared" si="38"/>
        <v>PSI</v>
      </c>
      <c r="I1265">
        <f t="shared" si="39"/>
        <v>1.4503773773020921E-2</v>
      </c>
    </row>
    <row r="1266" spans="1:9" x14ac:dyDescent="0.2">
      <c r="A1266">
        <v>378215</v>
      </c>
      <c r="B1266" t="s">
        <v>47</v>
      </c>
      <c r="C1266" t="s">
        <v>8</v>
      </c>
      <c r="D1266" t="s">
        <v>48</v>
      </c>
      <c r="E1266">
        <v>3441</v>
      </c>
      <c r="F1266">
        <v>344.1</v>
      </c>
      <c r="G1266" t="s">
        <v>49</v>
      </c>
      <c r="H1266" t="e">
        <f t="shared" si="38"/>
        <v>#VALUE!</v>
      </c>
      <c r="I1266" t="str">
        <f t="shared" si="39"/>
        <v>-</v>
      </c>
    </row>
    <row r="1267" spans="1:9" x14ac:dyDescent="0.2">
      <c r="A1267">
        <v>378417</v>
      </c>
      <c r="B1267" t="s">
        <v>50</v>
      </c>
      <c r="C1267" t="s">
        <v>8</v>
      </c>
      <c r="D1267" t="s">
        <v>51</v>
      </c>
      <c r="E1267">
        <v>28196</v>
      </c>
      <c r="F1267">
        <v>1101.4100000000001</v>
      </c>
      <c r="G1267" t="s">
        <v>15</v>
      </c>
      <c r="H1267" t="str">
        <f t="shared" si="38"/>
        <v>PSI</v>
      </c>
      <c r="I1267">
        <f t="shared" si="39"/>
        <v>15.974601471342975</v>
      </c>
    </row>
    <row r="1268" spans="1:9" x14ac:dyDescent="0.2">
      <c r="A1268">
        <v>378609</v>
      </c>
      <c r="B1268" t="s">
        <v>52</v>
      </c>
      <c r="C1268" t="s">
        <v>8</v>
      </c>
      <c r="D1268" t="s">
        <v>53</v>
      </c>
      <c r="E1268">
        <v>95</v>
      </c>
      <c r="F1268">
        <v>23.25</v>
      </c>
      <c r="G1268" t="s">
        <v>10</v>
      </c>
      <c r="H1268" t="e">
        <f t="shared" si="38"/>
        <v>#VALUE!</v>
      </c>
      <c r="I1268" t="str">
        <f t="shared" si="39"/>
        <v>-</v>
      </c>
    </row>
    <row r="1269" spans="1:9" x14ac:dyDescent="0.2">
      <c r="A1269">
        <v>378801</v>
      </c>
      <c r="B1269" t="s">
        <v>54</v>
      </c>
      <c r="C1269" t="s">
        <v>8</v>
      </c>
      <c r="D1269" t="s">
        <v>55</v>
      </c>
      <c r="E1269">
        <v>47</v>
      </c>
      <c r="F1269">
        <v>188</v>
      </c>
      <c r="G1269" t="s">
        <v>56</v>
      </c>
      <c r="H1269" t="e">
        <f t="shared" si="38"/>
        <v>#VALUE!</v>
      </c>
      <c r="I1269" t="str">
        <f t="shared" si="39"/>
        <v>-</v>
      </c>
    </row>
    <row r="1270" spans="1:9" x14ac:dyDescent="0.2">
      <c r="A1270">
        <v>379183</v>
      </c>
      <c r="B1270" t="s">
        <v>57</v>
      </c>
      <c r="C1270" t="s">
        <v>8</v>
      </c>
      <c r="D1270" t="s">
        <v>58</v>
      </c>
      <c r="E1270" t="s">
        <v>18</v>
      </c>
      <c r="F1270" t="s">
        <v>18</v>
      </c>
      <c r="G1270" t="s">
        <v>18</v>
      </c>
      <c r="H1270" t="e">
        <f t="shared" si="38"/>
        <v>#VALUE!</v>
      </c>
      <c r="I1270" t="str">
        <f t="shared" si="39"/>
        <v>-</v>
      </c>
    </row>
    <row r="1271" spans="1:9" x14ac:dyDescent="0.2">
      <c r="A1271">
        <v>379565</v>
      </c>
      <c r="B1271" t="s">
        <v>59</v>
      </c>
      <c r="C1271" t="s">
        <v>8</v>
      </c>
      <c r="D1271" t="s">
        <v>60</v>
      </c>
      <c r="E1271" t="s">
        <v>18</v>
      </c>
      <c r="F1271" t="s">
        <v>18</v>
      </c>
      <c r="G1271" t="s">
        <v>18</v>
      </c>
      <c r="H1271" t="e">
        <f t="shared" si="38"/>
        <v>#VALUE!</v>
      </c>
      <c r="I1271" t="str">
        <f t="shared" si="39"/>
        <v>-</v>
      </c>
    </row>
    <row r="1272" spans="1:9" x14ac:dyDescent="0.2">
      <c r="A1272">
        <v>379957</v>
      </c>
      <c r="B1272" t="s">
        <v>61</v>
      </c>
      <c r="C1272" t="s">
        <v>8</v>
      </c>
      <c r="D1272" t="s">
        <v>62</v>
      </c>
      <c r="E1272" t="s">
        <v>18</v>
      </c>
      <c r="F1272" t="s">
        <v>18</v>
      </c>
      <c r="G1272" t="s">
        <v>18</v>
      </c>
      <c r="H1272" t="e">
        <f t="shared" si="38"/>
        <v>#VALUE!</v>
      </c>
      <c r="I1272" t="str">
        <f t="shared" si="39"/>
        <v>-</v>
      </c>
    </row>
    <row r="1273" spans="1:9" x14ac:dyDescent="0.2">
      <c r="A1273">
        <v>380339</v>
      </c>
      <c r="B1273" t="s">
        <v>63</v>
      </c>
      <c r="C1273" t="s">
        <v>8</v>
      </c>
      <c r="D1273" t="s">
        <v>64</v>
      </c>
      <c r="E1273" t="s">
        <v>18</v>
      </c>
      <c r="F1273" t="s">
        <v>18</v>
      </c>
      <c r="G1273" t="s">
        <v>18</v>
      </c>
      <c r="H1273" t="e">
        <f t="shared" si="38"/>
        <v>#VALUE!</v>
      </c>
      <c r="I1273" t="str">
        <f t="shared" si="39"/>
        <v>-</v>
      </c>
    </row>
    <row r="1274" spans="1:9" x14ac:dyDescent="0.2">
      <c r="A1274">
        <v>380591</v>
      </c>
      <c r="B1274" t="s">
        <v>65</v>
      </c>
      <c r="C1274" t="s">
        <v>8</v>
      </c>
      <c r="D1274" t="s">
        <v>66</v>
      </c>
      <c r="E1274">
        <v>28660</v>
      </c>
      <c r="F1274">
        <v>3.5</v>
      </c>
      <c r="G1274" t="s">
        <v>67</v>
      </c>
      <c r="H1274" t="e">
        <f t="shared" si="38"/>
        <v>#VALUE!</v>
      </c>
      <c r="I1274" t="str">
        <f t="shared" si="39"/>
        <v>-</v>
      </c>
    </row>
    <row r="1275" spans="1:9" x14ac:dyDescent="0.2">
      <c r="A1275">
        <v>380963</v>
      </c>
      <c r="B1275" t="s">
        <v>68</v>
      </c>
      <c r="C1275" t="s">
        <v>8</v>
      </c>
      <c r="D1275" t="s">
        <v>69</v>
      </c>
      <c r="E1275" t="s">
        <v>18</v>
      </c>
      <c r="F1275" t="s">
        <v>18</v>
      </c>
      <c r="G1275" t="s">
        <v>18</v>
      </c>
      <c r="H1275" t="e">
        <f t="shared" si="38"/>
        <v>#VALUE!</v>
      </c>
      <c r="I1275" t="str">
        <f t="shared" si="39"/>
        <v>-</v>
      </c>
    </row>
    <row r="1276" spans="1:9" x14ac:dyDescent="0.2">
      <c r="A1276">
        <v>381155</v>
      </c>
      <c r="B1276" t="s">
        <v>7</v>
      </c>
      <c r="C1276" t="s">
        <v>8</v>
      </c>
      <c r="D1276" t="s">
        <v>9</v>
      </c>
      <c r="E1276">
        <v>165</v>
      </c>
      <c r="F1276">
        <v>105</v>
      </c>
      <c r="G1276" t="s">
        <v>10</v>
      </c>
      <c r="H1276" t="e">
        <f t="shared" si="38"/>
        <v>#VALUE!</v>
      </c>
      <c r="I1276" t="str">
        <f t="shared" si="39"/>
        <v>-</v>
      </c>
    </row>
    <row r="1277" spans="1:9" x14ac:dyDescent="0.2">
      <c r="A1277">
        <v>381337</v>
      </c>
      <c r="B1277" t="s">
        <v>11</v>
      </c>
      <c r="C1277" t="s">
        <v>8</v>
      </c>
      <c r="D1277" t="s">
        <v>12</v>
      </c>
      <c r="E1277">
        <v>196</v>
      </c>
      <c r="F1277">
        <v>99</v>
      </c>
      <c r="G1277" t="s">
        <v>10</v>
      </c>
      <c r="H1277" t="e">
        <f t="shared" si="38"/>
        <v>#VALUE!</v>
      </c>
      <c r="I1277" t="str">
        <f t="shared" si="39"/>
        <v>-</v>
      </c>
    </row>
    <row r="1278" spans="1:9" x14ac:dyDescent="0.2">
      <c r="A1278">
        <v>381559</v>
      </c>
      <c r="B1278" t="s">
        <v>13</v>
      </c>
      <c r="C1278" t="s">
        <v>8</v>
      </c>
      <c r="D1278" t="s">
        <v>14</v>
      </c>
      <c r="E1278">
        <v>25997</v>
      </c>
      <c r="F1278">
        <v>1015.51</v>
      </c>
      <c r="G1278" t="s">
        <v>15</v>
      </c>
      <c r="H1278" t="str">
        <f t="shared" si="38"/>
        <v>PSI</v>
      </c>
      <c r="I1278">
        <f t="shared" si="39"/>
        <v>14.728727304240476</v>
      </c>
    </row>
    <row r="1279" spans="1:9" x14ac:dyDescent="0.2">
      <c r="A1279">
        <v>381941</v>
      </c>
      <c r="B1279" t="s">
        <v>16</v>
      </c>
      <c r="C1279" t="s">
        <v>8</v>
      </c>
      <c r="D1279" t="s">
        <v>17</v>
      </c>
      <c r="E1279" t="s">
        <v>18</v>
      </c>
      <c r="F1279" t="s">
        <v>18</v>
      </c>
      <c r="G1279" t="s">
        <v>18</v>
      </c>
      <c r="H1279" t="e">
        <f t="shared" si="38"/>
        <v>#VALUE!</v>
      </c>
      <c r="I1279" t="str">
        <f t="shared" si="39"/>
        <v>-</v>
      </c>
    </row>
    <row r="1280" spans="1:9" x14ac:dyDescent="0.2">
      <c r="A1280">
        <v>382153</v>
      </c>
      <c r="B1280" t="s">
        <v>19</v>
      </c>
      <c r="C1280" t="s">
        <v>8</v>
      </c>
      <c r="D1280" t="s">
        <v>20</v>
      </c>
      <c r="E1280">
        <v>23249</v>
      </c>
      <c r="F1280">
        <v>1816.33</v>
      </c>
      <c r="G1280" t="s">
        <v>15</v>
      </c>
      <c r="H1280" t="str">
        <f t="shared" si="38"/>
        <v>PSI</v>
      </c>
      <c r="I1280">
        <f t="shared" si="39"/>
        <v>26.343639417151088</v>
      </c>
    </row>
    <row r="1281" spans="1:9" x14ac:dyDescent="0.2">
      <c r="A1281">
        <v>382365</v>
      </c>
      <c r="B1281" t="s">
        <v>21</v>
      </c>
      <c r="C1281" t="s">
        <v>8</v>
      </c>
      <c r="D1281" t="s">
        <v>22</v>
      </c>
      <c r="E1281">
        <v>15623</v>
      </c>
      <c r="F1281">
        <v>3905.75</v>
      </c>
      <c r="G1281" t="s">
        <v>23</v>
      </c>
      <c r="H1281" t="e">
        <f t="shared" si="38"/>
        <v>#VALUE!</v>
      </c>
      <c r="I1281" t="str">
        <f t="shared" si="39"/>
        <v>-</v>
      </c>
    </row>
    <row r="1282" spans="1:9" x14ac:dyDescent="0.2">
      <c r="A1282">
        <v>382557</v>
      </c>
      <c r="B1282" t="s">
        <v>24</v>
      </c>
      <c r="C1282" t="s">
        <v>8</v>
      </c>
      <c r="D1282" t="s">
        <v>25</v>
      </c>
      <c r="E1282">
        <v>3</v>
      </c>
      <c r="F1282">
        <v>3</v>
      </c>
      <c r="G1282" t="s">
        <v>26</v>
      </c>
      <c r="H1282" t="e">
        <f t="shared" si="38"/>
        <v>#VALUE!</v>
      </c>
      <c r="I1282" t="str">
        <f t="shared" si="39"/>
        <v>-</v>
      </c>
    </row>
    <row r="1283" spans="1:9" x14ac:dyDescent="0.2">
      <c r="A1283">
        <v>382769</v>
      </c>
      <c r="B1283" t="s">
        <v>27</v>
      </c>
      <c r="C1283" t="s">
        <v>8</v>
      </c>
      <c r="D1283" t="s">
        <v>28</v>
      </c>
      <c r="E1283">
        <v>603</v>
      </c>
      <c r="F1283">
        <v>14.16</v>
      </c>
      <c r="G1283" t="s">
        <v>29</v>
      </c>
      <c r="H1283" t="e">
        <f t="shared" ref="H1283:H1346" si="40">IF(FIND("Pa",G1283,1),"PSI","-")</f>
        <v>#VALUE!</v>
      </c>
      <c r="I1283" t="str">
        <f t="shared" ref="I1283:I1346" si="41">IF(G1283="hPa",CONVERT(F1283*100,"Pa","psi"), IF(G1283="MPa",CONVERT(F1283*1000000,"Pa","psi"),"-"))</f>
        <v>-</v>
      </c>
    </row>
    <row r="1284" spans="1:9" x14ac:dyDescent="0.2">
      <c r="A1284">
        <v>382981</v>
      </c>
      <c r="B1284" t="s">
        <v>30</v>
      </c>
      <c r="C1284" t="s">
        <v>8</v>
      </c>
      <c r="D1284" t="s">
        <v>31</v>
      </c>
      <c r="E1284">
        <v>5034</v>
      </c>
      <c r="F1284">
        <v>5034</v>
      </c>
      <c r="G1284" t="s">
        <v>15</v>
      </c>
      <c r="H1284" t="str">
        <f t="shared" si="40"/>
        <v>PSI</v>
      </c>
      <c r="I1284">
        <f t="shared" si="41"/>
        <v>73.011997173387314</v>
      </c>
    </row>
    <row r="1285" spans="1:9" x14ac:dyDescent="0.2">
      <c r="A1285">
        <v>383194</v>
      </c>
      <c r="B1285" t="s">
        <v>32</v>
      </c>
      <c r="C1285" t="s">
        <v>8</v>
      </c>
      <c r="D1285" t="s">
        <v>33</v>
      </c>
      <c r="E1285">
        <v>3629</v>
      </c>
      <c r="F1285">
        <v>0.89</v>
      </c>
      <c r="G1285" t="s">
        <v>26</v>
      </c>
      <c r="H1285" t="e">
        <f t="shared" si="40"/>
        <v>#VALUE!</v>
      </c>
      <c r="I1285" t="str">
        <f t="shared" si="41"/>
        <v>-</v>
      </c>
    </row>
    <row r="1286" spans="1:9" x14ac:dyDescent="0.2">
      <c r="A1286">
        <v>383406</v>
      </c>
      <c r="B1286" t="s">
        <v>34</v>
      </c>
      <c r="C1286" t="s">
        <v>8</v>
      </c>
      <c r="D1286" t="s">
        <v>35</v>
      </c>
      <c r="E1286">
        <v>3609</v>
      </c>
      <c r="F1286">
        <v>0.88</v>
      </c>
      <c r="G1286" t="s">
        <v>26</v>
      </c>
      <c r="H1286" t="e">
        <f t="shared" si="40"/>
        <v>#VALUE!</v>
      </c>
      <c r="I1286" t="str">
        <f t="shared" si="41"/>
        <v>-</v>
      </c>
    </row>
    <row r="1287" spans="1:9" x14ac:dyDescent="0.2">
      <c r="A1287">
        <v>383788</v>
      </c>
      <c r="B1287" t="s">
        <v>36</v>
      </c>
      <c r="C1287" t="s">
        <v>8</v>
      </c>
      <c r="D1287" t="s">
        <v>37</v>
      </c>
      <c r="E1287" t="s">
        <v>18</v>
      </c>
      <c r="F1287" t="s">
        <v>18</v>
      </c>
      <c r="G1287" t="s">
        <v>18</v>
      </c>
      <c r="H1287" t="e">
        <f t="shared" si="40"/>
        <v>#VALUE!</v>
      </c>
      <c r="I1287" t="str">
        <f t="shared" si="41"/>
        <v>-</v>
      </c>
    </row>
    <row r="1288" spans="1:9" x14ac:dyDescent="0.2">
      <c r="A1288">
        <v>384170</v>
      </c>
      <c r="B1288" t="s">
        <v>38</v>
      </c>
      <c r="C1288" t="s">
        <v>8</v>
      </c>
      <c r="D1288" t="s">
        <v>39</v>
      </c>
      <c r="E1288" t="s">
        <v>18</v>
      </c>
      <c r="F1288" t="s">
        <v>18</v>
      </c>
      <c r="G1288" t="s">
        <v>18</v>
      </c>
      <c r="H1288" t="e">
        <f t="shared" si="40"/>
        <v>#VALUE!</v>
      </c>
      <c r="I1288" t="str">
        <f t="shared" si="41"/>
        <v>-</v>
      </c>
    </row>
    <row r="1289" spans="1:9" x14ac:dyDescent="0.2">
      <c r="A1289">
        <v>384552</v>
      </c>
      <c r="B1289" t="s">
        <v>40</v>
      </c>
      <c r="C1289" t="s">
        <v>8</v>
      </c>
      <c r="D1289" t="s">
        <v>41</v>
      </c>
      <c r="E1289" t="s">
        <v>18</v>
      </c>
      <c r="F1289" t="s">
        <v>18</v>
      </c>
      <c r="G1289" t="s">
        <v>18</v>
      </c>
      <c r="H1289" t="e">
        <f t="shared" si="40"/>
        <v>#VALUE!</v>
      </c>
      <c r="I1289" t="str">
        <f t="shared" si="41"/>
        <v>-</v>
      </c>
    </row>
    <row r="1290" spans="1:9" x14ac:dyDescent="0.2">
      <c r="A1290">
        <v>384754</v>
      </c>
      <c r="B1290" t="s">
        <v>42</v>
      </c>
      <c r="C1290" t="s">
        <v>8</v>
      </c>
      <c r="D1290" t="s">
        <v>43</v>
      </c>
      <c r="E1290">
        <v>7708</v>
      </c>
      <c r="F1290">
        <v>3.85</v>
      </c>
      <c r="G1290" t="s">
        <v>44</v>
      </c>
      <c r="H1290" t="str">
        <f t="shared" si="40"/>
        <v>PSI</v>
      </c>
      <c r="I1290">
        <f t="shared" si="41"/>
        <v>558.39529026130549</v>
      </c>
    </row>
    <row r="1291" spans="1:9" x14ac:dyDescent="0.2">
      <c r="A1291">
        <v>384946</v>
      </c>
      <c r="B1291" t="s">
        <v>45</v>
      </c>
      <c r="C1291" t="s">
        <v>8</v>
      </c>
      <c r="D1291" t="s">
        <v>46</v>
      </c>
      <c r="E1291">
        <v>1</v>
      </c>
      <c r="F1291">
        <v>1</v>
      </c>
      <c r="G1291" t="s">
        <v>15</v>
      </c>
      <c r="H1291" t="str">
        <f t="shared" si="40"/>
        <v>PSI</v>
      </c>
      <c r="I1291">
        <f t="shared" si="41"/>
        <v>1.4503773773020921E-2</v>
      </c>
    </row>
    <row r="1292" spans="1:9" x14ac:dyDescent="0.2">
      <c r="A1292">
        <v>385158</v>
      </c>
      <c r="B1292" t="s">
        <v>47</v>
      </c>
      <c r="C1292" t="s">
        <v>8</v>
      </c>
      <c r="D1292" t="s">
        <v>48</v>
      </c>
      <c r="E1292">
        <v>3511</v>
      </c>
      <c r="F1292">
        <v>351.1</v>
      </c>
      <c r="G1292" t="s">
        <v>49</v>
      </c>
      <c r="H1292" t="e">
        <f t="shared" si="40"/>
        <v>#VALUE!</v>
      </c>
      <c r="I1292" t="str">
        <f t="shared" si="41"/>
        <v>-</v>
      </c>
    </row>
    <row r="1293" spans="1:9" x14ac:dyDescent="0.2">
      <c r="A1293">
        <v>385370</v>
      </c>
      <c r="B1293" t="s">
        <v>50</v>
      </c>
      <c r="C1293" t="s">
        <v>8</v>
      </c>
      <c r="D1293" t="s">
        <v>51</v>
      </c>
      <c r="E1293">
        <v>24605</v>
      </c>
      <c r="F1293">
        <v>961.13</v>
      </c>
      <c r="G1293" t="s">
        <v>15</v>
      </c>
      <c r="H1293" t="str">
        <f t="shared" si="40"/>
        <v>PSI</v>
      </c>
      <c r="I1293">
        <f t="shared" si="41"/>
        <v>13.940012086463598</v>
      </c>
    </row>
    <row r="1294" spans="1:9" x14ac:dyDescent="0.2">
      <c r="A1294">
        <v>385562</v>
      </c>
      <c r="B1294" t="s">
        <v>52</v>
      </c>
      <c r="C1294" t="s">
        <v>8</v>
      </c>
      <c r="D1294" t="s">
        <v>53</v>
      </c>
      <c r="E1294">
        <v>98</v>
      </c>
      <c r="F1294">
        <v>25.5</v>
      </c>
      <c r="G1294" t="s">
        <v>10</v>
      </c>
      <c r="H1294" t="e">
        <f t="shared" si="40"/>
        <v>#VALUE!</v>
      </c>
      <c r="I1294" t="str">
        <f t="shared" si="41"/>
        <v>-</v>
      </c>
    </row>
    <row r="1295" spans="1:9" x14ac:dyDescent="0.2">
      <c r="A1295">
        <v>385764</v>
      </c>
      <c r="B1295" t="s">
        <v>54</v>
      </c>
      <c r="C1295" t="s">
        <v>8</v>
      </c>
      <c r="D1295" t="s">
        <v>55</v>
      </c>
      <c r="E1295">
        <v>8</v>
      </c>
      <c r="F1295">
        <v>32</v>
      </c>
      <c r="G1295" t="s">
        <v>56</v>
      </c>
      <c r="H1295" t="e">
        <f t="shared" si="40"/>
        <v>#VALUE!</v>
      </c>
      <c r="I1295" t="str">
        <f t="shared" si="41"/>
        <v>-</v>
      </c>
    </row>
    <row r="1296" spans="1:9" x14ac:dyDescent="0.2">
      <c r="A1296">
        <v>386146</v>
      </c>
      <c r="B1296" t="s">
        <v>57</v>
      </c>
      <c r="C1296" t="s">
        <v>8</v>
      </c>
      <c r="D1296" t="s">
        <v>58</v>
      </c>
      <c r="E1296" t="s">
        <v>18</v>
      </c>
      <c r="F1296" t="s">
        <v>18</v>
      </c>
      <c r="G1296" t="s">
        <v>18</v>
      </c>
      <c r="H1296" t="e">
        <f t="shared" si="40"/>
        <v>#VALUE!</v>
      </c>
      <c r="I1296" t="str">
        <f t="shared" si="41"/>
        <v>-</v>
      </c>
    </row>
    <row r="1297" spans="1:9" x14ac:dyDescent="0.2">
      <c r="A1297">
        <v>386528</v>
      </c>
      <c r="B1297" t="s">
        <v>59</v>
      </c>
      <c r="C1297" t="s">
        <v>8</v>
      </c>
      <c r="D1297" t="s">
        <v>60</v>
      </c>
      <c r="E1297" t="s">
        <v>18</v>
      </c>
      <c r="F1297" t="s">
        <v>18</v>
      </c>
      <c r="G1297" t="s">
        <v>18</v>
      </c>
      <c r="H1297" t="e">
        <f t="shared" si="40"/>
        <v>#VALUE!</v>
      </c>
      <c r="I1297" t="str">
        <f t="shared" si="41"/>
        <v>-</v>
      </c>
    </row>
    <row r="1298" spans="1:9" x14ac:dyDescent="0.2">
      <c r="A1298">
        <v>386910</v>
      </c>
      <c r="B1298" t="s">
        <v>61</v>
      </c>
      <c r="C1298" t="s">
        <v>8</v>
      </c>
      <c r="D1298" t="s">
        <v>62</v>
      </c>
      <c r="E1298" t="s">
        <v>18</v>
      </c>
      <c r="F1298" t="s">
        <v>18</v>
      </c>
      <c r="G1298" t="s">
        <v>18</v>
      </c>
      <c r="H1298" t="e">
        <f t="shared" si="40"/>
        <v>#VALUE!</v>
      </c>
      <c r="I1298" t="str">
        <f t="shared" si="41"/>
        <v>-</v>
      </c>
    </row>
    <row r="1299" spans="1:9" x14ac:dyDescent="0.2">
      <c r="A1299">
        <v>387282</v>
      </c>
      <c r="B1299" t="s">
        <v>63</v>
      </c>
      <c r="C1299" t="s">
        <v>8</v>
      </c>
      <c r="D1299" t="s">
        <v>64</v>
      </c>
      <c r="E1299" t="s">
        <v>18</v>
      </c>
      <c r="F1299" t="s">
        <v>18</v>
      </c>
      <c r="G1299" t="s">
        <v>18</v>
      </c>
      <c r="H1299" t="e">
        <f t="shared" si="40"/>
        <v>#VALUE!</v>
      </c>
      <c r="I1299" t="str">
        <f t="shared" si="41"/>
        <v>-</v>
      </c>
    </row>
    <row r="1300" spans="1:9" x14ac:dyDescent="0.2">
      <c r="A1300">
        <v>387544</v>
      </c>
      <c r="B1300" t="s">
        <v>65</v>
      </c>
      <c r="C1300" t="s">
        <v>8</v>
      </c>
      <c r="D1300" t="s">
        <v>66</v>
      </c>
      <c r="E1300">
        <v>28956</v>
      </c>
      <c r="F1300">
        <v>3.53</v>
      </c>
      <c r="G1300" t="s">
        <v>67</v>
      </c>
      <c r="H1300" t="e">
        <f t="shared" si="40"/>
        <v>#VALUE!</v>
      </c>
      <c r="I1300" t="str">
        <f t="shared" si="41"/>
        <v>-</v>
      </c>
    </row>
    <row r="1301" spans="1:9" x14ac:dyDescent="0.2">
      <c r="A1301">
        <v>387916</v>
      </c>
      <c r="B1301" t="s">
        <v>68</v>
      </c>
      <c r="C1301" t="s">
        <v>8</v>
      </c>
      <c r="D1301" t="s">
        <v>69</v>
      </c>
      <c r="E1301" t="s">
        <v>18</v>
      </c>
      <c r="F1301" t="s">
        <v>18</v>
      </c>
      <c r="G1301" t="s">
        <v>18</v>
      </c>
      <c r="H1301" t="e">
        <f t="shared" si="40"/>
        <v>#VALUE!</v>
      </c>
      <c r="I1301" t="str">
        <f t="shared" si="41"/>
        <v>-</v>
      </c>
    </row>
    <row r="1302" spans="1:9" x14ac:dyDescent="0.2">
      <c r="A1302">
        <v>388118</v>
      </c>
      <c r="B1302" t="s">
        <v>7</v>
      </c>
      <c r="C1302" t="s">
        <v>8</v>
      </c>
      <c r="D1302" t="s">
        <v>9</v>
      </c>
      <c r="E1302">
        <v>165</v>
      </c>
      <c r="F1302">
        <v>105</v>
      </c>
      <c r="G1302" t="s">
        <v>10</v>
      </c>
      <c r="H1302" t="e">
        <f t="shared" si="40"/>
        <v>#VALUE!</v>
      </c>
      <c r="I1302" t="str">
        <f t="shared" si="41"/>
        <v>-</v>
      </c>
    </row>
    <row r="1303" spans="1:9" x14ac:dyDescent="0.2">
      <c r="A1303">
        <v>388310</v>
      </c>
      <c r="B1303" t="s">
        <v>11</v>
      </c>
      <c r="C1303" t="s">
        <v>8</v>
      </c>
      <c r="D1303" t="s">
        <v>12</v>
      </c>
      <c r="E1303">
        <v>199</v>
      </c>
      <c r="F1303">
        <v>101.25</v>
      </c>
      <c r="G1303" t="s">
        <v>10</v>
      </c>
      <c r="H1303" t="e">
        <f t="shared" si="40"/>
        <v>#VALUE!</v>
      </c>
      <c r="I1303" t="str">
        <f t="shared" si="41"/>
        <v>-</v>
      </c>
    </row>
    <row r="1304" spans="1:9" x14ac:dyDescent="0.2">
      <c r="A1304">
        <v>388522</v>
      </c>
      <c r="B1304" t="s">
        <v>13</v>
      </c>
      <c r="C1304" t="s">
        <v>8</v>
      </c>
      <c r="D1304" t="s">
        <v>14</v>
      </c>
      <c r="E1304">
        <v>25965</v>
      </c>
      <c r="F1304">
        <v>1014.26</v>
      </c>
      <c r="G1304" t="s">
        <v>15</v>
      </c>
      <c r="H1304" t="str">
        <f t="shared" si="40"/>
        <v>PSI</v>
      </c>
      <c r="I1304">
        <f t="shared" si="41"/>
        <v>14.7105975870242</v>
      </c>
    </row>
    <row r="1305" spans="1:9" x14ac:dyDescent="0.2">
      <c r="A1305">
        <v>388904</v>
      </c>
      <c r="B1305" t="s">
        <v>16</v>
      </c>
      <c r="C1305" t="s">
        <v>8</v>
      </c>
      <c r="D1305" t="s">
        <v>17</v>
      </c>
      <c r="E1305" t="s">
        <v>18</v>
      </c>
      <c r="F1305" t="s">
        <v>18</v>
      </c>
      <c r="G1305" t="s">
        <v>18</v>
      </c>
      <c r="H1305" t="e">
        <f t="shared" si="40"/>
        <v>#VALUE!</v>
      </c>
      <c r="I1305" t="str">
        <f t="shared" si="41"/>
        <v>-</v>
      </c>
    </row>
    <row r="1306" spans="1:9" x14ac:dyDescent="0.2">
      <c r="A1306">
        <v>389106</v>
      </c>
      <c r="B1306" t="s">
        <v>19</v>
      </c>
      <c r="C1306" t="s">
        <v>8</v>
      </c>
      <c r="D1306" t="s">
        <v>20</v>
      </c>
      <c r="E1306">
        <v>13871</v>
      </c>
      <c r="F1306">
        <v>1083.67</v>
      </c>
      <c r="G1306" t="s">
        <v>15</v>
      </c>
      <c r="H1306" t="str">
        <f t="shared" si="40"/>
        <v>PSI</v>
      </c>
      <c r="I1306">
        <f t="shared" si="41"/>
        <v>15.717304524609581</v>
      </c>
    </row>
    <row r="1307" spans="1:9" x14ac:dyDescent="0.2">
      <c r="A1307">
        <v>389318</v>
      </c>
      <c r="B1307" t="s">
        <v>21</v>
      </c>
      <c r="C1307" t="s">
        <v>8</v>
      </c>
      <c r="D1307" t="s">
        <v>22</v>
      </c>
      <c r="E1307">
        <v>10333</v>
      </c>
      <c r="F1307">
        <v>2583.25</v>
      </c>
      <c r="G1307" t="s">
        <v>23</v>
      </c>
      <c r="H1307" t="e">
        <f t="shared" si="40"/>
        <v>#VALUE!</v>
      </c>
      <c r="I1307" t="str">
        <f t="shared" si="41"/>
        <v>-</v>
      </c>
    </row>
    <row r="1308" spans="1:9" x14ac:dyDescent="0.2">
      <c r="A1308">
        <v>389510</v>
      </c>
      <c r="B1308" t="s">
        <v>24</v>
      </c>
      <c r="C1308" t="s">
        <v>8</v>
      </c>
      <c r="D1308" t="s">
        <v>25</v>
      </c>
      <c r="E1308">
        <v>4</v>
      </c>
      <c r="F1308">
        <v>4</v>
      </c>
      <c r="G1308" t="s">
        <v>26</v>
      </c>
      <c r="H1308" t="e">
        <f t="shared" si="40"/>
        <v>#VALUE!</v>
      </c>
      <c r="I1308" t="str">
        <f t="shared" si="41"/>
        <v>-</v>
      </c>
    </row>
    <row r="1309" spans="1:9" x14ac:dyDescent="0.2">
      <c r="A1309">
        <v>389722</v>
      </c>
      <c r="B1309" t="s">
        <v>27</v>
      </c>
      <c r="C1309" t="s">
        <v>8</v>
      </c>
      <c r="D1309" t="s">
        <v>28</v>
      </c>
      <c r="E1309">
        <v>604</v>
      </c>
      <c r="F1309">
        <v>14.18</v>
      </c>
      <c r="G1309" t="s">
        <v>29</v>
      </c>
      <c r="H1309" t="e">
        <f t="shared" si="40"/>
        <v>#VALUE!</v>
      </c>
      <c r="I1309" t="str">
        <f t="shared" si="41"/>
        <v>-</v>
      </c>
    </row>
    <row r="1310" spans="1:9" x14ac:dyDescent="0.2">
      <c r="A1310">
        <v>389934</v>
      </c>
      <c r="B1310" t="s">
        <v>30</v>
      </c>
      <c r="C1310" t="s">
        <v>8</v>
      </c>
      <c r="D1310" t="s">
        <v>31</v>
      </c>
      <c r="E1310">
        <v>3145</v>
      </c>
      <c r="F1310">
        <v>3145</v>
      </c>
      <c r="G1310" t="s">
        <v>15</v>
      </c>
      <c r="H1310" t="str">
        <f t="shared" si="40"/>
        <v>PSI</v>
      </c>
      <c r="I1310">
        <f t="shared" si="41"/>
        <v>45.614368516150797</v>
      </c>
    </row>
    <row r="1311" spans="1:9" x14ac:dyDescent="0.2">
      <c r="A1311">
        <v>390146</v>
      </c>
      <c r="B1311" t="s">
        <v>32</v>
      </c>
      <c r="C1311" t="s">
        <v>8</v>
      </c>
      <c r="D1311" t="s">
        <v>33</v>
      </c>
      <c r="E1311">
        <v>3790</v>
      </c>
      <c r="F1311">
        <v>0.93</v>
      </c>
      <c r="G1311" t="s">
        <v>26</v>
      </c>
      <c r="H1311" t="e">
        <f t="shared" si="40"/>
        <v>#VALUE!</v>
      </c>
      <c r="I1311" t="str">
        <f t="shared" si="41"/>
        <v>-</v>
      </c>
    </row>
    <row r="1312" spans="1:9" x14ac:dyDescent="0.2">
      <c r="A1312">
        <v>390358</v>
      </c>
      <c r="B1312" t="s">
        <v>34</v>
      </c>
      <c r="C1312" t="s">
        <v>8</v>
      </c>
      <c r="D1312" t="s">
        <v>35</v>
      </c>
      <c r="E1312">
        <v>3819</v>
      </c>
      <c r="F1312">
        <v>0.93</v>
      </c>
      <c r="G1312" t="s">
        <v>26</v>
      </c>
      <c r="H1312" t="e">
        <f t="shared" si="40"/>
        <v>#VALUE!</v>
      </c>
      <c r="I1312" t="str">
        <f t="shared" si="41"/>
        <v>-</v>
      </c>
    </row>
    <row r="1313" spans="1:9" x14ac:dyDescent="0.2">
      <c r="A1313">
        <v>390740</v>
      </c>
      <c r="B1313" t="s">
        <v>36</v>
      </c>
      <c r="C1313" t="s">
        <v>8</v>
      </c>
      <c r="D1313" t="s">
        <v>37</v>
      </c>
      <c r="E1313" t="s">
        <v>18</v>
      </c>
      <c r="F1313" t="s">
        <v>18</v>
      </c>
      <c r="G1313" t="s">
        <v>18</v>
      </c>
      <c r="H1313" t="e">
        <f t="shared" si="40"/>
        <v>#VALUE!</v>
      </c>
      <c r="I1313" t="str">
        <f t="shared" si="41"/>
        <v>-</v>
      </c>
    </row>
    <row r="1314" spans="1:9" x14ac:dyDescent="0.2">
      <c r="A1314">
        <v>391122</v>
      </c>
      <c r="B1314" t="s">
        <v>38</v>
      </c>
      <c r="C1314" t="s">
        <v>8</v>
      </c>
      <c r="D1314" t="s">
        <v>39</v>
      </c>
      <c r="E1314" t="s">
        <v>18</v>
      </c>
      <c r="F1314" t="s">
        <v>18</v>
      </c>
      <c r="G1314" t="s">
        <v>18</v>
      </c>
      <c r="H1314" t="e">
        <f t="shared" si="40"/>
        <v>#VALUE!</v>
      </c>
      <c r="I1314" t="str">
        <f t="shared" si="41"/>
        <v>-</v>
      </c>
    </row>
    <row r="1315" spans="1:9" x14ac:dyDescent="0.2">
      <c r="A1315">
        <v>391494</v>
      </c>
      <c r="B1315" t="s">
        <v>40</v>
      </c>
      <c r="C1315" t="s">
        <v>8</v>
      </c>
      <c r="D1315" t="s">
        <v>41</v>
      </c>
      <c r="E1315" t="s">
        <v>18</v>
      </c>
      <c r="F1315" t="s">
        <v>18</v>
      </c>
      <c r="G1315" t="s">
        <v>18</v>
      </c>
      <c r="H1315" t="e">
        <f t="shared" si="40"/>
        <v>#VALUE!</v>
      </c>
      <c r="I1315" t="str">
        <f t="shared" si="41"/>
        <v>-</v>
      </c>
    </row>
    <row r="1316" spans="1:9" x14ac:dyDescent="0.2">
      <c r="A1316">
        <v>391706</v>
      </c>
      <c r="B1316" t="s">
        <v>42</v>
      </c>
      <c r="C1316" t="s">
        <v>8</v>
      </c>
      <c r="D1316" t="s">
        <v>43</v>
      </c>
      <c r="E1316">
        <v>17119</v>
      </c>
      <c r="F1316">
        <v>8.56</v>
      </c>
      <c r="G1316" t="s">
        <v>44</v>
      </c>
      <c r="H1316" t="str">
        <f t="shared" si="40"/>
        <v>PSI</v>
      </c>
      <c r="I1316">
        <f t="shared" si="41"/>
        <v>1241.5230349705907</v>
      </c>
    </row>
    <row r="1317" spans="1:9" x14ac:dyDescent="0.2">
      <c r="A1317">
        <v>391898</v>
      </c>
      <c r="B1317" t="s">
        <v>45</v>
      </c>
      <c r="C1317" t="s">
        <v>8</v>
      </c>
      <c r="D1317" t="s">
        <v>46</v>
      </c>
      <c r="E1317">
        <v>1</v>
      </c>
      <c r="F1317">
        <v>1</v>
      </c>
      <c r="G1317" t="s">
        <v>15</v>
      </c>
      <c r="H1317" t="str">
        <f t="shared" si="40"/>
        <v>PSI</v>
      </c>
      <c r="I1317">
        <f t="shared" si="41"/>
        <v>1.4503773773020921E-2</v>
      </c>
    </row>
    <row r="1318" spans="1:9" x14ac:dyDescent="0.2">
      <c r="A1318">
        <v>392110</v>
      </c>
      <c r="B1318" t="s">
        <v>47</v>
      </c>
      <c r="C1318" t="s">
        <v>8</v>
      </c>
      <c r="D1318" t="s">
        <v>48</v>
      </c>
      <c r="E1318">
        <v>3580</v>
      </c>
      <c r="F1318">
        <v>358</v>
      </c>
      <c r="G1318" t="s">
        <v>49</v>
      </c>
      <c r="H1318" t="e">
        <f t="shared" si="40"/>
        <v>#VALUE!</v>
      </c>
      <c r="I1318" t="str">
        <f t="shared" si="41"/>
        <v>-</v>
      </c>
    </row>
    <row r="1319" spans="1:9" x14ac:dyDescent="0.2">
      <c r="A1319">
        <v>392322</v>
      </c>
      <c r="B1319" t="s">
        <v>50</v>
      </c>
      <c r="C1319" t="s">
        <v>8</v>
      </c>
      <c r="D1319" t="s">
        <v>51</v>
      </c>
      <c r="E1319">
        <v>24516</v>
      </c>
      <c r="F1319">
        <v>957.66</v>
      </c>
      <c r="G1319" t="s">
        <v>15</v>
      </c>
      <c r="H1319" t="str">
        <f t="shared" si="40"/>
        <v>PSI</v>
      </c>
      <c r="I1319">
        <f t="shared" si="41"/>
        <v>13.889683991471214</v>
      </c>
    </row>
    <row r="1320" spans="1:9" x14ac:dyDescent="0.2">
      <c r="A1320">
        <v>392504</v>
      </c>
      <c r="B1320" t="s">
        <v>52</v>
      </c>
      <c r="C1320" t="s">
        <v>8</v>
      </c>
      <c r="D1320" t="s">
        <v>53</v>
      </c>
      <c r="E1320">
        <v>98</v>
      </c>
      <c r="F1320">
        <v>25.5</v>
      </c>
      <c r="G1320" t="s">
        <v>10</v>
      </c>
      <c r="H1320" t="e">
        <f t="shared" si="40"/>
        <v>#VALUE!</v>
      </c>
      <c r="I1320" t="str">
        <f t="shared" si="41"/>
        <v>-</v>
      </c>
    </row>
    <row r="1321" spans="1:9" x14ac:dyDescent="0.2">
      <c r="A1321">
        <v>392696</v>
      </c>
      <c r="B1321" t="s">
        <v>54</v>
      </c>
      <c r="C1321" t="s">
        <v>8</v>
      </c>
      <c r="D1321" t="s">
        <v>55</v>
      </c>
      <c r="E1321">
        <v>14</v>
      </c>
      <c r="F1321">
        <v>56</v>
      </c>
      <c r="G1321" t="s">
        <v>56</v>
      </c>
      <c r="H1321" t="e">
        <f t="shared" si="40"/>
        <v>#VALUE!</v>
      </c>
      <c r="I1321" t="str">
        <f t="shared" si="41"/>
        <v>-</v>
      </c>
    </row>
    <row r="1322" spans="1:9" x14ac:dyDescent="0.2">
      <c r="A1322">
        <v>393068</v>
      </c>
      <c r="B1322" t="s">
        <v>57</v>
      </c>
      <c r="C1322" t="s">
        <v>8</v>
      </c>
      <c r="D1322" t="s">
        <v>58</v>
      </c>
      <c r="E1322" t="s">
        <v>18</v>
      </c>
      <c r="F1322" t="s">
        <v>18</v>
      </c>
      <c r="G1322" t="s">
        <v>18</v>
      </c>
      <c r="H1322" t="e">
        <f t="shared" si="40"/>
        <v>#VALUE!</v>
      </c>
      <c r="I1322" t="str">
        <f t="shared" si="41"/>
        <v>-</v>
      </c>
    </row>
    <row r="1323" spans="1:9" x14ac:dyDescent="0.2">
      <c r="A1323">
        <v>393450</v>
      </c>
      <c r="B1323" t="s">
        <v>59</v>
      </c>
      <c r="C1323" t="s">
        <v>8</v>
      </c>
      <c r="D1323" t="s">
        <v>60</v>
      </c>
      <c r="E1323" t="s">
        <v>18</v>
      </c>
      <c r="F1323" t="s">
        <v>18</v>
      </c>
      <c r="G1323" t="s">
        <v>18</v>
      </c>
      <c r="H1323" t="e">
        <f t="shared" si="40"/>
        <v>#VALUE!</v>
      </c>
      <c r="I1323" t="str">
        <f t="shared" si="41"/>
        <v>-</v>
      </c>
    </row>
    <row r="1324" spans="1:9" x14ac:dyDescent="0.2">
      <c r="A1324">
        <v>393832</v>
      </c>
      <c r="B1324" t="s">
        <v>61</v>
      </c>
      <c r="C1324" t="s">
        <v>8</v>
      </c>
      <c r="D1324" t="s">
        <v>62</v>
      </c>
      <c r="E1324" t="s">
        <v>18</v>
      </c>
      <c r="F1324" t="s">
        <v>18</v>
      </c>
      <c r="G1324" t="s">
        <v>18</v>
      </c>
      <c r="H1324" t="e">
        <f t="shared" si="40"/>
        <v>#VALUE!</v>
      </c>
      <c r="I1324" t="str">
        <f t="shared" si="41"/>
        <v>-</v>
      </c>
    </row>
    <row r="1325" spans="1:9" x14ac:dyDescent="0.2">
      <c r="A1325">
        <v>394214</v>
      </c>
      <c r="B1325" t="s">
        <v>63</v>
      </c>
      <c r="C1325" t="s">
        <v>8</v>
      </c>
      <c r="D1325" t="s">
        <v>64</v>
      </c>
      <c r="E1325" t="s">
        <v>18</v>
      </c>
      <c r="F1325" t="s">
        <v>18</v>
      </c>
      <c r="G1325" t="s">
        <v>18</v>
      </c>
      <c r="H1325" t="e">
        <f t="shared" si="40"/>
        <v>#VALUE!</v>
      </c>
      <c r="I1325" t="str">
        <f t="shared" si="41"/>
        <v>-</v>
      </c>
    </row>
    <row r="1326" spans="1:9" x14ac:dyDescent="0.2">
      <c r="A1326">
        <v>394466</v>
      </c>
      <c r="B1326" t="s">
        <v>65</v>
      </c>
      <c r="C1326" t="s">
        <v>8</v>
      </c>
      <c r="D1326" t="s">
        <v>66</v>
      </c>
      <c r="E1326">
        <v>29026</v>
      </c>
      <c r="F1326">
        <v>3.54</v>
      </c>
      <c r="G1326" t="s">
        <v>67</v>
      </c>
      <c r="H1326" t="e">
        <f t="shared" si="40"/>
        <v>#VALUE!</v>
      </c>
      <c r="I1326" t="str">
        <f t="shared" si="41"/>
        <v>-</v>
      </c>
    </row>
    <row r="1327" spans="1:9" x14ac:dyDescent="0.2">
      <c r="A1327">
        <v>394838</v>
      </c>
      <c r="B1327" t="s">
        <v>68</v>
      </c>
      <c r="C1327" t="s">
        <v>8</v>
      </c>
      <c r="D1327" t="s">
        <v>69</v>
      </c>
      <c r="E1327" t="s">
        <v>18</v>
      </c>
      <c r="F1327" t="s">
        <v>18</v>
      </c>
      <c r="G1327" t="s">
        <v>18</v>
      </c>
      <c r="H1327" t="e">
        <f t="shared" si="40"/>
        <v>#VALUE!</v>
      </c>
      <c r="I1327" t="str">
        <f t="shared" si="41"/>
        <v>-</v>
      </c>
    </row>
    <row r="1328" spans="1:9" x14ac:dyDescent="0.2">
      <c r="A1328">
        <v>395040</v>
      </c>
      <c r="B1328" t="s">
        <v>7</v>
      </c>
      <c r="C1328" t="s">
        <v>8</v>
      </c>
      <c r="D1328" t="s">
        <v>9</v>
      </c>
      <c r="E1328">
        <v>165</v>
      </c>
      <c r="F1328">
        <v>105</v>
      </c>
      <c r="G1328" t="s">
        <v>10</v>
      </c>
      <c r="H1328" t="e">
        <f t="shared" si="40"/>
        <v>#VALUE!</v>
      </c>
      <c r="I1328" t="str">
        <f t="shared" si="41"/>
        <v>-</v>
      </c>
    </row>
    <row r="1329" spans="1:9" x14ac:dyDescent="0.2">
      <c r="A1329">
        <v>395233</v>
      </c>
      <c r="B1329" t="s">
        <v>11</v>
      </c>
      <c r="C1329" t="s">
        <v>8</v>
      </c>
      <c r="D1329" t="s">
        <v>12</v>
      </c>
      <c r="E1329">
        <v>193</v>
      </c>
      <c r="F1329">
        <v>96.75</v>
      </c>
      <c r="G1329" t="s">
        <v>10</v>
      </c>
      <c r="H1329" t="e">
        <f t="shared" si="40"/>
        <v>#VALUE!</v>
      </c>
      <c r="I1329" t="str">
        <f t="shared" si="41"/>
        <v>-</v>
      </c>
    </row>
    <row r="1330" spans="1:9" x14ac:dyDescent="0.2">
      <c r="A1330">
        <v>395445</v>
      </c>
      <c r="B1330" t="s">
        <v>13</v>
      </c>
      <c r="C1330" t="s">
        <v>8</v>
      </c>
      <c r="D1330" t="s">
        <v>14</v>
      </c>
      <c r="E1330">
        <v>25934</v>
      </c>
      <c r="F1330">
        <v>1013.05</v>
      </c>
      <c r="G1330" t="s">
        <v>15</v>
      </c>
      <c r="H1330" t="str">
        <f t="shared" si="40"/>
        <v>PSI</v>
      </c>
      <c r="I1330">
        <f t="shared" si="41"/>
        <v>14.693048020758845</v>
      </c>
    </row>
    <row r="1331" spans="1:9" x14ac:dyDescent="0.2">
      <c r="A1331">
        <v>395827</v>
      </c>
      <c r="B1331" t="s">
        <v>16</v>
      </c>
      <c r="C1331" t="s">
        <v>8</v>
      </c>
      <c r="D1331" t="s">
        <v>17</v>
      </c>
      <c r="E1331" t="s">
        <v>18</v>
      </c>
      <c r="F1331" t="s">
        <v>18</v>
      </c>
      <c r="G1331" t="s">
        <v>18</v>
      </c>
      <c r="H1331" t="e">
        <f t="shared" si="40"/>
        <v>#VALUE!</v>
      </c>
      <c r="I1331" t="str">
        <f t="shared" si="41"/>
        <v>-</v>
      </c>
    </row>
    <row r="1332" spans="1:9" x14ac:dyDescent="0.2">
      <c r="A1332">
        <v>396039</v>
      </c>
      <c r="B1332" t="s">
        <v>19</v>
      </c>
      <c r="C1332" t="s">
        <v>8</v>
      </c>
      <c r="D1332" t="s">
        <v>20</v>
      </c>
      <c r="E1332">
        <v>13248</v>
      </c>
      <c r="F1332">
        <v>1035</v>
      </c>
      <c r="G1332" t="s">
        <v>15</v>
      </c>
      <c r="H1332" t="str">
        <f t="shared" si="40"/>
        <v>PSI</v>
      </c>
      <c r="I1332">
        <f t="shared" si="41"/>
        <v>15.011405855076653</v>
      </c>
    </row>
    <row r="1333" spans="1:9" x14ac:dyDescent="0.2">
      <c r="A1333">
        <v>396251</v>
      </c>
      <c r="B1333" t="s">
        <v>21</v>
      </c>
      <c r="C1333" t="s">
        <v>8</v>
      </c>
      <c r="D1333" t="s">
        <v>22</v>
      </c>
      <c r="E1333">
        <v>7619</v>
      </c>
      <c r="F1333">
        <v>1904.75</v>
      </c>
      <c r="G1333" t="s">
        <v>23</v>
      </c>
      <c r="H1333" t="e">
        <f t="shared" si="40"/>
        <v>#VALUE!</v>
      </c>
      <c r="I1333" t="str">
        <f t="shared" si="41"/>
        <v>-</v>
      </c>
    </row>
    <row r="1334" spans="1:9" x14ac:dyDescent="0.2">
      <c r="A1334">
        <v>396453</v>
      </c>
      <c r="B1334" t="s">
        <v>24</v>
      </c>
      <c r="C1334" t="s">
        <v>8</v>
      </c>
      <c r="D1334" t="s">
        <v>25</v>
      </c>
      <c r="E1334">
        <v>4</v>
      </c>
      <c r="F1334">
        <v>4</v>
      </c>
      <c r="G1334" t="s">
        <v>26</v>
      </c>
      <c r="H1334" t="e">
        <f t="shared" si="40"/>
        <v>#VALUE!</v>
      </c>
      <c r="I1334" t="str">
        <f t="shared" si="41"/>
        <v>-</v>
      </c>
    </row>
    <row r="1335" spans="1:9" x14ac:dyDescent="0.2">
      <c r="A1335">
        <v>396655</v>
      </c>
      <c r="B1335" t="s">
        <v>27</v>
      </c>
      <c r="C1335" t="s">
        <v>8</v>
      </c>
      <c r="D1335" t="s">
        <v>28</v>
      </c>
      <c r="E1335">
        <v>604</v>
      </c>
      <c r="F1335">
        <v>14.18</v>
      </c>
      <c r="G1335" t="s">
        <v>29</v>
      </c>
      <c r="H1335" t="e">
        <f t="shared" si="40"/>
        <v>#VALUE!</v>
      </c>
      <c r="I1335" t="str">
        <f t="shared" si="41"/>
        <v>-</v>
      </c>
    </row>
    <row r="1336" spans="1:9" x14ac:dyDescent="0.2">
      <c r="A1336">
        <v>396857</v>
      </c>
      <c r="B1336" t="s">
        <v>30</v>
      </c>
      <c r="C1336" t="s">
        <v>8</v>
      </c>
      <c r="D1336" t="s">
        <v>31</v>
      </c>
      <c r="E1336">
        <v>2992</v>
      </c>
      <c r="F1336">
        <v>2992</v>
      </c>
      <c r="G1336" t="s">
        <v>15</v>
      </c>
      <c r="H1336" t="str">
        <f t="shared" si="40"/>
        <v>PSI</v>
      </c>
      <c r="I1336">
        <f t="shared" si="41"/>
        <v>43.395291128878597</v>
      </c>
    </row>
    <row r="1337" spans="1:9" x14ac:dyDescent="0.2">
      <c r="A1337">
        <v>397069</v>
      </c>
      <c r="B1337" t="s">
        <v>32</v>
      </c>
      <c r="C1337" t="s">
        <v>8</v>
      </c>
      <c r="D1337" t="s">
        <v>33</v>
      </c>
      <c r="E1337">
        <v>4098</v>
      </c>
      <c r="F1337">
        <v>1</v>
      </c>
      <c r="G1337" t="s">
        <v>26</v>
      </c>
      <c r="H1337" t="e">
        <f t="shared" si="40"/>
        <v>#VALUE!</v>
      </c>
      <c r="I1337" t="str">
        <f t="shared" si="41"/>
        <v>-</v>
      </c>
    </row>
    <row r="1338" spans="1:9" x14ac:dyDescent="0.2">
      <c r="A1338">
        <v>397281</v>
      </c>
      <c r="B1338" t="s">
        <v>34</v>
      </c>
      <c r="C1338" t="s">
        <v>8</v>
      </c>
      <c r="D1338" t="s">
        <v>35</v>
      </c>
      <c r="E1338">
        <v>4180</v>
      </c>
      <c r="F1338">
        <v>1.02</v>
      </c>
      <c r="G1338" t="s">
        <v>26</v>
      </c>
      <c r="H1338" t="e">
        <f t="shared" si="40"/>
        <v>#VALUE!</v>
      </c>
      <c r="I1338" t="str">
        <f t="shared" si="41"/>
        <v>-</v>
      </c>
    </row>
    <row r="1339" spans="1:9" x14ac:dyDescent="0.2">
      <c r="A1339">
        <v>397663</v>
      </c>
      <c r="B1339" t="s">
        <v>36</v>
      </c>
      <c r="C1339" t="s">
        <v>8</v>
      </c>
      <c r="D1339" t="s">
        <v>37</v>
      </c>
      <c r="E1339" t="s">
        <v>18</v>
      </c>
      <c r="F1339" t="s">
        <v>18</v>
      </c>
      <c r="G1339" t="s">
        <v>18</v>
      </c>
      <c r="H1339" t="e">
        <f t="shared" si="40"/>
        <v>#VALUE!</v>
      </c>
      <c r="I1339" t="str">
        <f t="shared" si="41"/>
        <v>-</v>
      </c>
    </row>
    <row r="1340" spans="1:9" x14ac:dyDescent="0.2">
      <c r="A1340">
        <v>398035</v>
      </c>
      <c r="B1340" t="s">
        <v>38</v>
      </c>
      <c r="C1340" t="s">
        <v>8</v>
      </c>
      <c r="D1340" t="s">
        <v>39</v>
      </c>
      <c r="E1340" t="s">
        <v>18</v>
      </c>
      <c r="F1340" t="s">
        <v>18</v>
      </c>
      <c r="G1340" t="s">
        <v>18</v>
      </c>
      <c r="H1340" t="e">
        <f t="shared" si="40"/>
        <v>#VALUE!</v>
      </c>
      <c r="I1340" t="str">
        <f t="shared" si="41"/>
        <v>-</v>
      </c>
    </row>
    <row r="1341" spans="1:9" x14ac:dyDescent="0.2">
      <c r="A1341">
        <v>398417</v>
      </c>
      <c r="B1341" t="s">
        <v>40</v>
      </c>
      <c r="C1341" t="s">
        <v>8</v>
      </c>
      <c r="D1341" t="s">
        <v>41</v>
      </c>
      <c r="E1341" t="s">
        <v>18</v>
      </c>
      <c r="F1341" t="s">
        <v>18</v>
      </c>
      <c r="G1341" t="s">
        <v>18</v>
      </c>
      <c r="H1341" t="e">
        <f t="shared" si="40"/>
        <v>#VALUE!</v>
      </c>
      <c r="I1341" t="str">
        <f t="shared" si="41"/>
        <v>-</v>
      </c>
    </row>
    <row r="1342" spans="1:9" x14ac:dyDescent="0.2">
      <c r="A1342">
        <v>398629</v>
      </c>
      <c r="B1342" t="s">
        <v>42</v>
      </c>
      <c r="C1342" t="s">
        <v>8</v>
      </c>
      <c r="D1342" t="s">
        <v>43</v>
      </c>
      <c r="E1342">
        <v>14056</v>
      </c>
      <c r="F1342">
        <v>7.03</v>
      </c>
      <c r="G1342" t="s">
        <v>44</v>
      </c>
      <c r="H1342" t="str">
        <f t="shared" si="40"/>
        <v>PSI</v>
      </c>
      <c r="I1342">
        <f t="shared" si="41"/>
        <v>1019.6152962433707</v>
      </c>
    </row>
    <row r="1343" spans="1:9" x14ac:dyDescent="0.2">
      <c r="A1343">
        <v>398821</v>
      </c>
      <c r="B1343" t="s">
        <v>45</v>
      </c>
      <c r="C1343" t="s">
        <v>8</v>
      </c>
      <c r="D1343" t="s">
        <v>46</v>
      </c>
      <c r="E1343">
        <v>1</v>
      </c>
      <c r="F1343">
        <v>1</v>
      </c>
      <c r="G1343" t="s">
        <v>15</v>
      </c>
      <c r="H1343" t="str">
        <f t="shared" si="40"/>
        <v>PSI</v>
      </c>
      <c r="I1343">
        <f t="shared" si="41"/>
        <v>1.4503773773020921E-2</v>
      </c>
    </row>
    <row r="1344" spans="1:9" x14ac:dyDescent="0.2">
      <c r="A1344">
        <v>399033</v>
      </c>
      <c r="B1344" t="s">
        <v>47</v>
      </c>
      <c r="C1344" t="s">
        <v>8</v>
      </c>
      <c r="D1344" t="s">
        <v>48</v>
      </c>
      <c r="E1344">
        <v>3650</v>
      </c>
      <c r="F1344">
        <v>365</v>
      </c>
      <c r="G1344" t="s">
        <v>49</v>
      </c>
      <c r="H1344" t="e">
        <f t="shared" si="40"/>
        <v>#VALUE!</v>
      </c>
      <c r="I1344" t="str">
        <f t="shared" si="41"/>
        <v>-</v>
      </c>
    </row>
    <row r="1345" spans="1:9" x14ac:dyDescent="0.2">
      <c r="A1345">
        <v>399246</v>
      </c>
      <c r="B1345" t="s">
        <v>50</v>
      </c>
      <c r="C1345" t="s">
        <v>8</v>
      </c>
      <c r="D1345" t="s">
        <v>51</v>
      </c>
      <c r="E1345">
        <v>24388</v>
      </c>
      <c r="F1345">
        <v>952.66</v>
      </c>
      <c r="G1345" t="s">
        <v>15</v>
      </c>
      <c r="H1345" t="str">
        <f t="shared" si="40"/>
        <v>PSI</v>
      </c>
      <c r="I1345">
        <f t="shared" si="41"/>
        <v>13.817165122606111</v>
      </c>
    </row>
    <row r="1346" spans="1:9" x14ac:dyDescent="0.2">
      <c r="A1346">
        <v>399438</v>
      </c>
      <c r="B1346" t="s">
        <v>52</v>
      </c>
      <c r="C1346" t="s">
        <v>8</v>
      </c>
      <c r="D1346" t="s">
        <v>53</v>
      </c>
      <c r="E1346">
        <v>95</v>
      </c>
      <c r="F1346">
        <v>23.25</v>
      </c>
      <c r="G1346" t="s">
        <v>10</v>
      </c>
      <c r="H1346" t="e">
        <f t="shared" si="40"/>
        <v>#VALUE!</v>
      </c>
      <c r="I1346" t="str">
        <f t="shared" si="41"/>
        <v>-</v>
      </c>
    </row>
    <row r="1347" spans="1:9" x14ac:dyDescent="0.2">
      <c r="A1347">
        <v>399630</v>
      </c>
      <c r="B1347" t="s">
        <v>54</v>
      </c>
      <c r="C1347" t="s">
        <v>8</v>
      </c>
      <c r="D1347" t="s">
        <v>55</v>
      </c>
      <c r="E1347">
        <v>10</v>
      </c>
      <c r="F1347">
        <v>40</v>
      </c>
      <c r="G1347" t="s">
        <v>56</v>
      </c>
      <c r="H1347" t="e">
        <f t="shared" ref="H1347:H1410" si="42">IF(FIND("Pa",G1347,1),"PSI","-")</f>
        <v>#VALUE!</v>
      </c>
      <c r="I1347" t="str">
        <f t="shared" ref="I1347:I1410" si="43">IF(G1347="hPa",CONVERT(F1347*100,"Pa","psi"), IF(G1347="MPa",CONVERT(F1347*1000000,"Pa","psi"),"-"))</f>
        <v>-</v>
      </c>
    </row>
    <row r="1348" spans="1:9" x14ac:dyDescent="0.2">
      <c r="A1348">
        <v>400002</v>
      </c>
      <c r="B1348" t="s">
        <v>57</v>
      </c>
      <c r="C1348" t="s">
        <v>8</v>
      </c>
      <c r="D1348" t="s">
        <v>58</v>
      </c>
      <c r="E1348" t="s">
        <v>18</v>
      </c>
      <c r="F1348" t="s">
        <v>18</v>
      </c>
      <c r="G1348" t="s">
        <v>18</v>
      </c>
      <c r="H1348" t="e">
        <f t="shared" si="42"/>
        <v>#VALUE!</v>
      </c>
      <c r="I1348" t="str">
        <f t="shared" si="43"/>
        <v>-</v>
      </c>
    </row>
    <row r="1349" spans="1:9" x14ac:dyDescent="0.2">
      <c r="A1349">
        <v>400384</v>
      </c>
      <c r="B1349" t="s">
        <v>59</v>
      </c>
      <c r="C1349" t="s">
        <v>8</v>
      </c>
      <c r="D1349" t="s">
        <v>60</v>
      </c>
      <c r="E1349" t="s">
        <v>18</v>
      </c>
      <c r="F1349" t="s">
        <v>18</v>
      </c>
      <c r="G1349" t="s">
        <v>18</v>
      </c>
      <c r="H1349" t="e">
        <f t="shared" si="42"/>
        <v>#VALUE!</v>
      </c>
      <c r="I1349" t="str">
        <f t="shared" si="43"/>
        <v>-</v>
      </c>
    </row>
    <row r="1350" spans="1:9" x14ac:dyDescent="0.2">
      <c r="A1350">
        <v>400756</v>
      </c>
      <c r="B1350" t="s">
        <v>61</v>
      </c>
      <c r="C1350" t="s">
        <v>8</v>
      </c>
      <c r="D1350" t="s">
        <v>62</v>
      </c>
      <c r="E1350" t="s">
        <v>18</v>
      </c>
      <c r="F1350" t="s">
        <v>18</v>
      </c>
      <c r="G1350" t="s">
        <v>18</v>
      </c>
      <c r="H1350" t="e">
        <f t="shared" si="42"/>
        <v>#VALUE!</v>
      </c>
      <c r="I1350" t="str">
        <f t="shared" si="43"/>
        <v>-</v>
      </c>
    </row>
    <row r="1351" spans="1:9" x14ac:dyDescent="0.2">
      <c r="A1351">
        <v>401138</v>
      </c>
      <c r="B1351" t="s">
        <v>63</v>
      </c>
      <c r="C1351" t="s">
        <v>8</v>
      </c>
      <c r="D1351" t="s">
        <v>64</v>
      </c>
      <c r="E1351" t="s">
        <v>18</v>
      </c>
      <c r="F1351" t="s">
        <v>18</v>
      </c>
      <c r="G1351" t="s">
        <v>18</v>
      </c>
      <c r="H1351" t="e">
        <f t="shared" si="42"/>
        <v>#VALUE!</v>
      </c>
      <c r="I1351" t="str">
        <f t="shared" si="43"/>
        <v>-</v>
      </c>
    </row>
    <row r="1352" spans="1:9" x14ac:dyDescent="0.2">
      <c r="A1352">
        <v>401390</v>
      </c>
      <c r="B1352" t="s">
        <v>65</v>
      </c>
      <c r="C1352" t="s">
        <v>8</v>
      </c>
      <c r="D1352" t="s">
        <v>66</v>
      </c>
      <c r="E1352">
        <v>29092</v>
      </c>
      <c r="F1352">
        <v>3.55</v>
      </c>
      <c r="G1352" t="s">
        <v>67</v>
      </c>
      <c r="H1352" t="e">
        <f t="shared" si="42"/>
        <v>#VALUE!</v>
      </c>
      <c r="I1352" t="str">
        <f t="shared" si="43"/>
        <v>-</v>
      </c>
    </row>
    <row r="1353" spans="1:9" x14ac:dyDescent="0.2">
      <c r="A1353">
        <v>401772</v>
      </c>
      <c r="B1353" t="s">
        <v>68</v>
      </c>
      <c r="C1353" t="s">
        <v>8</v>
      </c>
      <c r="D1353" t="s">
        <v>69</v>
      </c>
      <c r="E1353" t="s">
        <v>18</v>
      </c>
      <c r="F1353" t="s">
        <v>18</v>
      </c>
      <c r="G1353" t="s">
        <v>18</v>
      </c>
      <c r="H1353" t="e">
        <f t="shared" si="42"/>
        <v>#VALUE!</v>
      </c>
      <c r="I1353" t="str">
        <f t="shared" si="43"/>
        <v>-</v>
      </c>
    </row>
    <row r="1354" spans="1:9" x14ac:dyDescent="0.2">
      <c r="A1354">
        <v>401974</v>
      </c>
      <c r="B1354" t="s">
        <v>7</v>
      </c>
      <c r="C1354" t="s">
        <v>8</v>
      </c>
      <c r="D1354" t="s">
        <v>9</v>
      </c>
      <c r="E1354">
        <v>165</v>
      </c>
      <c r="F1354">
        <v>105</v>
      </c>
      <c r="G1354" t="s">
        <v>10</v>
      </c>
      <c r="H1354" t="e">
        <f t="shared" si="42"/>
        <v>#VALUE!</v>
      </c>
      <c r="I1354" t="str">
        <f t="shared" si="43"/>
        <v>-</v>
      </c>
    </row>
    <row r="1355" spans="1:9" x14ac:dyDescent="0.2">
      <c r="A1355">
        <v>402156</v>
      </c>
      <c r="B1355" t="s">
        <v>11</v>
      </c>
      <c r="C1355" t="s">
        <v>8</v>
      </c>
      <c r="D1355" t="s">
        <v>12</v>
      </c>
      <c r="E1355">
        <v>193</v>
      </c>
      <c r="F1355">
        <v>96.75</v>
      </c>
      <c r="G1355" t="s">
        <v>10</v>
      </c>
      <c r="H1355" t="e">
        <f t="shared" si="42"/>
        <v>#VALUE!</v>
      </c>
      <c r="I1355" t="str">
        <f t="shared" si="43"/>
        <v>-</v>
      </c>
    </row>
    <row r="1356" spans="1:9" x14ac:dyDescent="0.2">
      <c r="A1356">
        <v>402378</v>
      </c>
      <c r="B1356" t="s">
        <v>13</v>
      </c>
      <c r="C1356" t="s">
        <v>8</v>
      </c>
      <c r="D1356" t="s">
        <v>14</v>
      </c>
      <c r="E1356">
        <v>25902</v>
      </c>
      <c r="F1356">
        <v>1011.8</v>
      </c>
      <c r="G1356" t="s">
        <v>15</v>
      </c>
      <c r="H1356" t="str">
        <f t="shared" si="42"/>
        <v>PSI</v>
      </c>
      <c r="I1356">
        <f t="shared" si="43"/>
        <v>14.674918303542567</v>
      </c>
    </row>
    <row r="1357" spans="1:9" x14ac:dyDescent="0.2">
      <c r="A1357">
        <v>402750</v>
      </c>
      <c r="B1357" t="s">
        <v>16</v>
      </c>
      <c r="C1357" t="s">
        <v>8</v>
      </c>
      <c r="D1357" t="s">
        <v>17</v>
      </c>
      <c r="E1357" t="s">
        <v>18</v>
      </c>
      <c r="F1357" t="s">
        <v>18</v>
      </c>
      <c r="G1357" t="s">
        <v>18</v>
      </c>
      <c r="H1357" t="e">
        <f t="shared" si="42"/>
        <v>#VALUE!</v>
      </c>
      <c r="I1357" t="str">
        <f t="shared" si="43"/>
        <v>-</v>
      </c>
    </row>
    <row r="1358" spans="1:9" x14ac:dyDescent="0.2">
      <c r="A1358">
        <v>402962</v>
      </c>
      <c r="B1358" t="s">
        <v>19</v>
      </c>
      <c r="C1358" t="s">
        <v>8</v>
      </c>
      <c r="D1358" t="s">
        <v>20</v>
      </c>
      <c r="E1358">
        <v>13129</v>
      </c>
      <c r="F1358">
        <v>1025.7</v>
      </c>
      <c r="G1358" t="s">
        <v>15</v>
      </c>
      <c r="H1358" t="str">
        <f t="shared" si="42"/>
        <v>PSI</v>
      </c>
      <c r="I1358">
        <f t="shared" si="43"/>
        <v>14.876520758987558</v>
      </c>
    </row>
    <row r="1359" spans="1:9" x14ac:dyDescent="0.2">
      <c r="A1359">
        <v>403174</v>
      </c>
      <c r="B1359" t="s">
        <v>21</v>
      </c>
      <c r="C1359" t="s">
        <v>8</v>
      </c>
      <c r="D1359" t="s">
        <v>22</v>
      </c>
      <c r="E1359">
        <v>6461</v>
      </c>
      <c r="F1359">
        <v>1615.25</v>
      </c>
      <c r="G1359" t="s">
        <v>23</v>
      </c>
      <c r="H1359" t="e">
        <f t="shared" si="42"/>
        <v>#VALUE!</v>
      </c>
      <c r="I1359" t="str">
        <f t="shared" si="43"/>
        <v>-</v>
      </c>
    </row>
    <row r="1360" spans="1:9" x14ac:dyDescent="0.2">
      <c r="A1360">
        <v>403366</v>
      </c>
      <c r="B1360" t="s">
        <v>24</v>
      </c>
      <c r="C1360" t="s">
        <v>8</v>
      </c>
      <c r="D1360" t="s">
        <v>25</v>
      </c>
      <c r="E1360">
        <v>4</v>
      </c>
      <c r="F1360">
        <v>4</v>
      </c>
      <c r="G1360" t="s">
        <v>26</v>
      </c>
      <c r="H1360" t="e">
        <f t="shared" si="42"/>
        <v>#VALUE!</v>
      </c>
      <c r="I1360" t="str">
        <f t="shared" si="43"/>
        <v>-</v>
      </c>
    </row>
    <row r="1361" spans="1:9" x14ac:dyDescent="0.2">
      <c r="A1361">
        <v>403568</v>
      </c>
      <c r="B1361" t="s">
        <v>27</v>
      </c>
      <c r="C1361" t="s">
        <v>8</v>
      </c>
      <c r="D1361" t="s">
        <v>28</v>
      </c>
      <c r="E1361">
        <v>603</v>
      </c>
      <c r="F1361">
        <v>14.16</v>
      </c>
      <c r="G1361" t="s">
        <v>29</v>
      </c>
      <c r="H1361" t="e">
        <f t="shared" si="42"/>
        <v>#VALUE!</v>
      </c>
      <c r="I1361" t="str">
        <f t="shared" si="43"/>
        <v>-</v>
      </c>
    </row>
    <row r="1362" spans="1:9" x14ac:dyDescent="0.2">
      <c r="A1362">
        <v>403780</v>
      </c>
      <c r="B1362" t="s">
        <v>30</v>
      </c>
      <c r="C1362" t="s">
        <v>8</v>
      </c>
      <c r="D1362" t="s">
        <v>31</v>
      </c>
      <c r="E1362">
        <v>3053</v>
      </c>
      <c r="F1362">
        <v>3053</v>
      </c>
      <c r="G1362" t="s">
        <v>15</v>
      </c>
      <c r="H1362" t="str">
        <f t="shared" si="42"/>
        <v>PSI</v>
      </c>
      <c r="I1362">
        <f t="shared" si="43"/>
        <v>44.28002132903287</v>
      </c>
    </row>
    <row r="1363" spans="1:9" x14ac:dyDescent="0.2">
      <c r="A1363">
        <v>403992</v>
      </c>
      <c r="B1363" t="s">
        <v>32</v>
      </c>
      <c r="C1363" t="s">
        <v>8</v>
      </c>
      <c r="D1363" t="s">
        <v>33</v>
      </c>
      <c r="E1363">
        <v>3876</v>
      </c>
      <c r="F1363">
        <v>0.95</v>
      </c>
      <c r="G1363" t="s">
        <v>26</v>
      </c>
      <c r="H1363" t="e">
        <f t="shared" si="42"/>
        <v>#VALUE!</v>
      </c>
      <c r="I1363" t="str">
        <f t="shared" si="43"/>
        <v>-</v>
      </c>
    </row>
    <row r="1364" spans="1:9" x14ac:dyDescent="0.2">
      <c r="A1364">
        <v>404204</v>
      </c>
      <c r="B1364" t="s">
        <v>34</v>
      </c>
      <c r="C1364" t="s">
        <v>8</v>
      </c>
      <c r="D1364" t="s">
        <v>35</v>
      </c>
      <c r="E1364">
        <v>4088</v>
      </c>
      <c r="F1364">
        <v>1</v>
      </c>
      <c r="G1364" t="s">
        <v>26</v>
      </c>
      <c r="H1364" t="e">
        <f t="shared" si="42"/>
        <v>#VALUE!</v>
      </c>
      <c r="I1364" t="str">
        <f t="shared" si="43"/>
        <v>-</v>
      </c>
    </row>
    <row r="1365" spans="1:9" x14ac:dyDescent="0.2">
      <c r="A1365">
        <v>404576</v>
      </c>
      <c r="B1365" t="s">
        <v>36</v>
      </c>
      <c r="C1365" t="s">
        <v>8</v>
      </c>
      <c r="D1365" t="s">
        <v>37</v>
      </c>
      <c r="E1365" t="s">
        <v>18</v>
      </c>
      <c r="F1365" t="s">
        <v>18</v>
      </c>
      <c r="G1365" t="s">
        <v>18</v>
      </c>
      <c r="H1365" t="e">
        <f t="shared" si="42"/>
        <v>#VALUE!</v>
      </c>
      <c r="I1365" t="str">
        <f t="shared" si="43"/>
        <v>-</v>
      </c>
    </row>
    <row r="1366" spans="1:9" x14ac:dyDescent="0.2">
      <c r="A1366">
        <v>404958</v>
      </c>
      <c r="B1366" t="s">
        <v>38</v>
      </c>
      <c r="C1366" t="s">
        <v>8</v>
      </c>
      <c r="D1366" t="s">
        <v>39</v>
      </c>
      <c r="E1366" t="s">
        <v>18</v>
      </c>
      <c r="F1366" t="s">
        <v>18</v>
      </c>
      <c r="G1366" t="s">
        <v>18</v>
      </c>
      <c r="H1366" t="e">
        <f t="shared" si="42"/>
        <v>#VALUE!</v>
      </c>
      <c r="I1366" t="str">
        <f t="shared" si="43"/>
        <v>-</v>
      </c>
    </row>
    <row r="1367" spans="1:9" x14ac:dyDescent="0.2">
      <c r="A1367">
        <v>405340</v>
      </c>
      <c r="B1367" t="s">
        <v>40</v>
      </c>
      <c r="C1367" t="s">
        <v>8</v>
      </c>
      <c r="D1367" t="s">
        <v>41</v>
      </c>
      <c r="E1367" t="s">
        <v>18</v>
      </c>
      <c r="F1367" t="s">
        <v>18</v>
      </c>
      <c r="G1367" t="s">
        <v>18</v>
      </c>
      <c r="H1367" t="e">
        <f t="shared" si="42"/>
        <v>#VALUE!</v>
      </c>
      <c r="I1367" t="str">
        <f t="shared" si="43"/>
        <v>-</v>
      </c>
    </row>
    <row r="1368" spans="1:9" x14ac:dyDescent="0.2">
      <c r="A1368">
        <v>405552</v>
      </c>
      <c r="B1368" t="s">
        <v>42</v>
      </c>
      <c r="C1368" t="s">
        <v>8</v>
      </c>
      <c r="D1368" t="s">
        <v>43</v>
      </c>
      <c r="E1368">
        <v>10055</v>
      </c>
      <c r="F1368">
        <v>5.03</v>
      </c>
      <c r="G1368" t="s">
        <v>44</v>
      </c>
      <c r="H1368" t="str">
        <f t="shared" si="42"/>
        <v>PSI</v>
      </c>
      <c r="I1368">
        <f t="shared" si="43"/>
        <v>729.53982078295235</v>
      </c>
    </row>
    <row r="1369" spans="1:9" x14ac:dyDescent="0.2">
      <c r="A1369">
        <v>405744</v>
      </c>
      <c r="B1369" t="s">
        <v>45</v>
      </c>
      <c r="C1369" t="s">
        <v>8</v>
      </c>
      <c r="D1369" t="s">
        <v>46</v>
      </c>
      <c r="E1369">
        <v>1</v>
      </c>
      <c r="F1369">
        <v>1</v>
      </c>
      <c r="G1369" t="s">
        <v>15</v>
      </c>
      <c r="H1369" t="str">
        <f t="shared" si="42"/>
        <v>PSI</v>
      </c>
      <c r="I1369">
        <f t="shared" si="43"/>
        <v>1.4503773773020921E-2</v>
      </c>
    </row>
    <row r="1370" spans="1:9" x14ac:dyDescent="0.2">
      <c r="A1370">
        <v>405956</v>
      </c>
      <c r="B1370" t="s">
        <v>47</v>
      </c>
      <c r="C1370" t="s">
        <v>8</v>
      </c>
      <c r="D1370" t="s">
        <v>48</v>
      </c>
      <c r="E1370">
        <v>3719</v>
      </c>
      <c r="F1370">
        <v>371.9</v>
      </c>
      <c r="G1370" t="s">
        <v>49</v>
      </c>
      <c r="H1370" t="e">
        <f t="shared" si="42"/>
        <v>#VALUE!</v>
      </c>
      <c r="I1370" t="str">
        <f t="shared" si="43"/>
        <v>-</v>
      </c>
    </row>
    <row r="1371" spans="1:9" x14ac:dyDescent="0.2">
      <c r="A1371">
        <v>406168</v>
      </c>
      <c r="B1371" t="s">
        <v>50</v>
      </c>
      <c r="C1371" t="s">
        <v>8</v>
      </c>
      <c r="D1371" t="s">
        <v>51</v>
      </c>
      <c r="E1371">
        <v>24423</v>
      </c>
      <c r="F1371">
        <v>954.02</v>
      </c>
      <c r="G1371" t="s">
        <v>15</v>
      </c>
      <c r="H1371" t="str">
        <f t="shared" si="42"/>
        <v>PSI</v>
      </c>
      <c r="I1371">
        <f t="shared" si="43"/>
        <v>13.836890254937419</v>
      </c>
    </row>
    <row r="1372" spans="1:9" x14ac:dyDescent="0.2">
      <c r="A1372">
        <v>406360</v>
      </c>
      <c r="B1372" t="s">
        <v>52</v>
      </c>
      <c r="C1372" t="s">
        <v>8</v>
      </c>
      <c r="D1372" t="s">
        <v>53</v>
      </c>
      <c r="E1372">
        <v>94</v>
      </c>
      <c r="F1372">
        <v>22.5</v>
      </c>
      <c r="G1372" t="s">
        <v>10</v>
      </c>
      <c r="H1372" t="e">
        <f t="shared" si="42"/>
        <v>#VALUE!</v>
      </c>
      <c r="I1372" t="str">
        <f t="shared" si="43"/>
        <v>-</v>
      </c>
    </row>
    <row r="1373" spans="1:9" x14ac:dyDescent="0.2">
      <c r="A1373">
        <v>406552</v>
      </c>
      <c r="B1373" t="s">
        <v>54</v>
      </c>
      <c r="C1373" t="s">
        <v>8</v>
      </c>
      <c r="D1373" t="s">
        <v>55</v>
      </c>
      <c r="E1373">
        <v>3</v>
      </c>
      <c r="F1373">
        <v>12</v>
      </c>
      <c r="G1373" t="s">
        <v>56</v>
      </c>
      <c r="H1373" t="e">
        <f t="shared" si="42"/>
        <v>#VALUE!</v>
      </c>
      <c r="I1373" t="str">
        <f t="shared" si="43"/>
        <v>-</v>
      </c>
    </row>
    <row r="1374" spans="1:9" x14ac:dyDescent="0.2">
      <c r="A1374">
        <v>406924</v>
      </c>
      <c r="B1374" t="s">
        <v>57</v>
      </c>
      <c r="C1374" t="s">
        <v>8</v>
      </c>
      <c r="D1374" t="s">
        <v>58</v>
      </c>
      <c r="E1374" t="s">
        <v>18</v>
      </c>
      <c r="F1374" t="s">
        <v>18</v>
      </c>
      <c r="G1374" t="s">
        <v>18</v>
      </c>
      <c r="H1374" t="e">
        <f t="shared" si="42"/>
        <v>#VALUE!</v>
      </c>
      <c r="I1374" t="str">
        <f t="shared" si="43"/>
        <v>-</v>
      </c>
    </row>
    <row r="1375" spans="1:9" x14ac:dyDescent="0.2">
      <c r="A1375">
        <v>407306</v>
      </c>
      <c r="B1375" t="s">
        <v>59</v>
      </c>
      <c r="C1375" t="s">
        <v>8</v>
      </c>
      <c r="D1375" t="s">
        <v>60</v>
      </c>
      <c r="E1375" t="s">
        <v>18</v>
      </c>
      <c r="F1375" t="s">
        <v>18</v>
      </c>
      <c r="G1375" t="s">
        <v>18</v>
      </c>
      <c r="H1375" t="e">
        <f t="shared" si="42"/>
        <v>#VALUE!</v>
      </c>
      <c r="I1375" t="str">
        <f t="shared" si="43"/>
        <v>-</v>
      </c>
    </row>
    <row r="1376" spans="1:9" x14ac:dyDescent="0.2">
      <c r="A1376">
        <v>407688</v>
      </c>
      <c r="B1376" t="s">
        <v>61</v>
      </c>
      <c r="C1376" t="s">
        <v>8</v>
      </c>
      <c r="D1376" t="s">
        <v>62</v>
      </c>
      <c r="E1376" t="s">
        <v>18</v>
      </c>
      <c r="F1376" t="s">
        <v>18</v>
      </c>
      <c r="G1376" t="s">
        <v>18</v>
      </c>
      <c r="H1376" t="e">
        <f t="shared" si="42"/>
        <v>#VALUE!</v>
      </c>
      <c r="I1376" t="str">
        <f t="shared" si="43"/>
        <v>-</v>
      </c>
    </row>
    <row r="1377" spans="1:9" x14ac:dyDescent="0.2">
      <c r="A1377">
        <v>408070</v>
      </c>
      <c r="B1377" t="s">
        <v>63</v>
      </c>
      <c r="C1377" t="s">
        <v>8</v>
      </c>
      <c r="D1377" t="s">
        <v>64</v>
      </c>
      <c r="E1377" t="s">
        <v>18</v>
      </c>
      <c r="F1377" t="s">
        <v>18</v>
      </c>
      <c r="G1377" t="s">
        <v>18</v>
      </c>
      <c r="H1377" t="e">
        <f t="shared" si="42"/>
        <v>#VALUE!</v>
      </c>
      <c r="I1377" t="str">
        <f t="shared" si="43"/>
        <v>-</v>
      </c>
    </row>
    <row r="1378" spans="1:9" x14ac:dyDescent="0.2">
      <c r="A1378">
        <v>408323</v>
      </c>
      <c r="B1378" t="s">
        <v>65</v>
      </c>
      <c r="C1378" t="s">
        <v>8</v>
      </c>
      <c r="D1378" t="s">
        <v>66</v>
      </c>
      <c r="E1378">
        <v>29113</v>
      </c>
      <c r="F1378">
        <v>3.55</v>
      </c>
      <c r="G1378" t="s">
        <v>67</v>
      </c>
      <c r="H1378" t="e">
        <f t="shared" si="42"/>
        <v>#VALUE!</v>
      </c>
      <c r="I1378" t="str">
        <f t="shared" si="43"/>
        <v>-</v>
      </c>
    </row>
    <row r="1379" spans="1:9" x14ac:dyDescent="0.2">
      <c r="A1379">
        <v>408705</v>
      </c>
      <c r="B1379" t="s">
        <v>68</v>
      </c>
      <c r="C1379" t="s">
        <v>8</v>
      </c>
      <c r="D1379" t="s">
        <v>69</v>
      </c>
      <c r="E1379" t="s">
        <v>18</v>
      </c>
      <c r="F1379" t="s">
        <v>18</v>
      </c>
      <c r="G1379" t="s">
        <v>18</v>
      </c>
      <c r="H1379" t="e">
        <f t="shared" si="42"/>
        <v>#VALUE!</v>
      </c>
      <c r="I1379" t="str">
        <f t="shared" si="43"/>
        <v>-</v>
      </c>
    </row>
    <row r="1380" spans="1:9" x14ac:dyDescent="0.2">
      <c r="A1380">
        <v>408907</v>
      </c>
      <c r="B1380" t="s">
        <v>7</v>
      </c>
      <c r="C1380" t="s">
        <v>8</v>
      </c>
      <c r="D1380" t="s">
        <v>9</v>
      </c>
      <c r="E1380">
        <v>165</v>
      </c>
      <c r="F1380">
        <v>105</v>
      </c>
      <c r="G1380" t="s">
        <v>10</v>
      </c>
      <c r="H1380" t="e">
        <f t="shared" si="42"/>
        <v>#VALUE!</v>
      </c>
      <c r="I1380" t="str">
        <f t="shared" si="43"/>
        <v>-</v>
      </c>
    </row>
    <row r="1381" spans="1:9" x14ac:dyDescent="0.2">
      <c r="A1381">
        <v>409099</v>
      </c>
      <c r="B1381" t="s">
        <v>11</v>
      </c>
      <c r="C1381" t="s">
        <v>8</v>
      </c>
      <c r="D1381" t="s">
        <v>12</v>
      </c>
      <c r="E1381">
        <v>197</v>
      </c>
      <c r="F1381">
        <v>99.75</v>
      </c>
      <c r="G1381" t="s">
        <v>10</v>
      </c>
      <c r="H1381" t="e">
        <f t="shared" si="42"/>
        <v>#VALUE!</v>
      </c>
      <c r="I1381" t="str">
        <f t="shared" si="43"/>
        <v>-</v>
      </c>
    </row>
    <row r="1382" spans="1:9" x14ac:dyDescent="0.2">
      <c r="A1382">
        <v>409311</v>
      </c>
      <c r="B1382" t="s">
        <v>13</v>
      </c>
      <c r="C1382" t="s">
        <v>8</v>
      </c>
      <c r="D1382" t="s">
        <v>14</v>
      </c>
      <c r="E1382">
        <v>25902</v>
      </c>
      <c r="F1382">
        <v>1011.8</v>
      </c>
      <c r="G1382" t="s">
        <v>15</v>
      </c>
      <c r="H1382" t="str">
        <f t="shared" si="42"/>
        <v>PSI</v>
      </c>
      <c r="I1382">
        <f t="shared" si="43"/>
        <v>14.674918303542567</v>
      </c>
    </row>
    <row r="1383" spans="1:9" x14ac:dyDescent="0.2">
      <c r="A1383">
        <v>409693</v>
      </c>
      <c r="B1383" t="s">
        <v>16</v>
      </c>
      <c r="C1383" t="s">
        <v>8</v>
      </c>
      <c r="D1383" t="s">
        <v>17</v>
      </c>
      <c r="E1383" t="s">
        <v>18</v>
      </c>
      <c r="F1383" t="s">
        <v>18</v>
      </c>
      <c r="G1383" t="s">
        <v>18</v>
      </c>
      <c r="H1383" t="e">
        <f t="shared" si="42"/>
        <v>#VALUE!</v>
      </c>
      <c r="I1383" t="str">
        <f t="shared" si="43"/>
        <v>-</v>
      </c>
    </row>
    <row r="1384" spans="1:9" x14ac:dyDescent="0.2">
      <c r="A1384">
        <v>409895</v>
      </c>
      <c r="B1384" t="s">
        <v>19</v>
      </c>
      <c r="C1384" t="s">
        <v>8</v>
      </c>
      <c r="D1384" t="s">
        <v>20</v>
      </c>
      <c r="E1384">
        <v>12949</v>
      </c>
      <c r="F1384">
        <v>1011.64</v>
      </c>
      <c r="G1384" t="s">
        <v>15</v>
      </c>
      <c r="H1384" t="str">
        <f t="shared" si="42"/>
        <v>PSI</v>
      </c>
      <c r="I1384">
        <f t="shared" si="43"/>
        <v>14.672597699738885</v>
      </c>
    </row>
    <row r="1385" spans="1:9" x14ac:dyDescent="0.2">
      <c r="A1385">
        <v>410108</v>
      </c>
      <c r="B1385" t="s">
        <v>21</v>
      </c>
      <c r="C1385" t="s">
        <v>8</v>
      </c>
      <c r="D1385" t="s">
        <v>22</v>
      </c>
      <c r="E1385">
        <v>4085</v>
      </c>
      <c r="F1385">
        <v>1021.25</v>
      </c>
      <c r="G1385" t="s">
        <v>23</v>
      </c>
      <c r="H1385" t="e">
        <f t="shared" si="42"/>
        <v>#VALUE!</v>
      </c>
      <c r="I1385" t="str">
        <f t="shared" si="43"/>
        <v>-</v>
      </c>
    </row>
    <row r="1386" spans="1:9" x14ac:dyDescent="0.2">
      <c r="A1386">
        <v>410300</v>
      </c>
      <c r="B1386" t="s">
        <v>24</v>
      </c>
      <c r="C1386" t="s">
        <v>8</v>
      </c>
      <c r="D1386" t="s">
        <v>25</v>
      </c>
      <c r="E1386">
        <v>2</v>
      </c>
      <c r="F1386">
        <v>2</v>
      </c>
      <c r="G1386" t="s">
        <v>26</v>
      </c>
      <c r="H1386" t="e">
        <f t="shared" si="42"/>
        <v>#VALUE!</v>
      </c>
      <c r="I1386" t="str">
        <f t="shared" si="43"/>
        <v>-</v>
      </c>
    </row>
    <row r="1387" spans="1:9" x14ac:dyDescent="0.2">
      <c r="A1387">
        <v>410512</v>
      </c>
      <c r="B1387" t="s">
        <v>27</v>
      </c>
      <c r="C1387" t="s">
        <v>8</v>
      </c>
      <c r="D1387" t="s">
        <v>28</v>
      </c>
      <c r="E1387">
        <v>604</v>
      </c>
      <c r="F1387">
        <v>14.18</v>
      </c>
      <c r="G1387" t="s">
        <v>29</v>
      </c>
      <c r="H1387" t="e">
        <f t="shared" si="42"/>
        <v>#VALUE!</v>
      </c>
      <c r="I1387" t="str">
        <f t="shared" si="43"/>
        <v>-</v>
      </c>
    </row>
    <row r="1388" spans="1:9" x14ac:dyDescent="0.2">
      <c r="A1388">
        <v>410724</v>
      </c>
      <c r="B1388" t="s">
        <v>30</v>
      </c>
      <c r="C1388" t="s">
        <v>8</v>
      </c>
      <c r="D1388" t="s">
        <v>31</v>
      </c>
      <c r="E1388">
        <v>3021</v>
      </c>
      <c r="F1388">
        <v>3021</v>
      </c>
      <c r="G1388" t="s">
        <v>15</v>
      </c>
      <c r="H1388" t="str">
        <f t="shared" si="42"/>
        <v>PSI</v>
      </c>
      <c r="I1388">
        <f t="shared" si="43"/>
        <v>43.8159005682962</v>
      </c>
    </row>
    <row r="1389" spans="1:9" x14ac:dyDescent="0.2">
      <c r="A1389">
        <v>410926</v>
      </c>
      <c r="B1389" t="s">
        <v>32</v>
      </c>
      <c r="C1389" t="s">
        <v>8</v>
      </c>
      <c r="D1389" t="s">
        <v>33</v>
      </c>
      <c r="E1389">
        <v>3735</v>
      </c>
      <c r="F1389">
        <v>0.91</v>
      </c>
      <c r="G1389" t="s">
        <v>26</v>
      </c>
      <c r="H1389" t="e">
        <f t="shared" si="42"/>
        <v>#VALUE!</v>
      </c>
      <c r="I1389" t="str">
        <f t="shared" si="43"/>
        <v>-</v>
      </c>
    </row>
    <row r="1390" spans="1:9" x14ac:dyDescent="0.2">
      <c r="A1390">
        <v>411138</v>
      </c>
      <c r="B1390" t="s">
        <v>34</v>
      </c>
      <c r="C1390" t="s">
        <v>8</v>
      </c>
      <c r="D1390" t="s">
        <v>35</v>
      </c>
      <c r="E1390">
        <v>3929</v>
      </c>
      <c r="F1390">
        <v>0.96</v>
      </c>
      <c r="G1390" t="s">
        <v>26</v>
      </c>
      <c r="H1390" t="e">
        <f t="shared" si="42"/>
        <v>#VALUE!</v>
      </c>
      <c r="I1390" t="str">
        <f t="shared" si="43"/>
        <v>-</v>
      </c>
    </row>
    <row r="1391" spans="1:9" x14ac:dyDescent="0.2">
      <c r="A1391">
        <v>411510</v>
      </c>
      <c r="B1391" t="s">
        <v>36</v>
      </c>
      <c r="C1391" t="s">
        <v>8</v>
      </c>
      <c r="D1391" t="s">
        <v>37</v>
      </c>
      <c r="E1391" t="s">
        <v>18</v>
      </c>
      <c r="F1391" t="s">
        <v>18</v>
      </c>
      <c r="G1391" t="s">
        <v>18</v>
      </c>
      <c r="H1391" t="e">
        <f t="shared" si="42"/>
        <v>#VALUE!</v>
      </c>
      <c r="I1391" t="str">
        <f t="shared" si="43"/>
        <v>-</v>
      </c>
    </row>
    <row r="1392" spans="1:9" x14ac:dyDescent="0.2">
      <c r="A1392">
        <v>411892</v>
      </c>
      <c r="B1392" t="s">
        <v>38</v>
      </c>
      <c r="C1392" t="s">
        <v>8</v>
      </c>
      <c r="D1392" t="s">
        <v>39</v>
      </c>
      <c r="E1392" t="s">
        <v>18</v>
      </c>
      <c r="F1392" t="s">
        <v>18</v>
      </c>
      <c r="G1392" t="s">
        <v>18</v>
      </c>
      <c r="H1392" t="e">
        <f t="shared" si="42"/>
        <v>#VALUE!</v>
      </c>
      <c r="I1392" t="str">
        <f t="shared" si="43"/>
        <v>-</v>
      </c>
    </row>
    <row r="1393" spans="1:9" x14ac:dyDescent="0.2">
      <c r="A1393">
        <v>412274</v>
      </c>
      <c r="B1393" t="s">
        <v>40</v>
      </c>
      <c r="C1393" t="s">
        <v>8</v>
      </c>
      <c r="D1393" t="s">
        <v>41</v>
      </c>
      <c r="E1393" t="s">
        <v>18</v>
      </c>
      <c r="F1393" t="s">
        <v>18</v>
      </c>
      <c r="G1393" t="s">
        <v>18</v>
      </c>
      <c r="H1393" t="e">
        <f t="shared" si="42"/>
        <v>#VALUE!</v>
      </c>
      <c r="I1393" t="str">
        <f t="shared" si="43"/>
        <v>-</v>
      </c>
    </row>
    <row r="1394" spans="1:9" x14ac:dyDescent="0.2">
      <c r="A1394">
        <v>412486</v>
      </c>
      <c r="B1394" t="s">
        <v>42</v>
      </c>
      <c r="C1394" t="s">
        <v>8</v>
      </c>
      <c r="D1394" t="s">
        <v>43</v>
      </c>
      <c r="E1394">
        <v>17691</v>
      </c>
      <c r="F1394">
        <v>8.85</v>
      </c>
      <c r="G1394" t="s">
        <v>44</v>
      </c>
      <c r="H1394" t="str">
        <f t="shared" si="42"/>
        <v>PSI</v>
      </c>
      <c r="I1394">
        <f t="shared" si="43"/>
        <v>1283.5839789123515</v>
      </c>
    </row>
    <row r="1395" spans="1:9" x14ac:dyDescent="0.2">
      <c r="A1395">
        <v>412678</v>
      </c>
      <c r="B1395" t="s">
        <v>45</v>
      </c>
      <c r="C1395" t="s">
        <v>8</v>
      </c>
      <c r="D1395" t="s">
        <v>46</v>
      </c>
      <c r="E1395">
        <v>1</v>
      </c>
      <c r="F1395">
        <v>1</v>
      </c>
      <c r="G1395" t="s">
        <v>15</v>
      </c>
      <c r="H1395" t="str">
        <f t="shared" si="42"/>
        <v>PSI</v>
      </c>
      <c r="I1395">
        <f t="shared" si="43"/>
        <v>1.4503773773020921E-2</v>
      </c>
    </row>
    <row r="1396" spans="1:9" x14ac:dyDescent="0.2">
      <c r="A1396">
        <v>412890</v>
      </c>
      <c r="B1396" t="s">
        <v>47</v>
      </c>
      <c r="C1396" t="s">
        <v>8</v>
      </c>
      <c r="D1396" t="s">
        <v>48</v>
      </c>
      <c r="E1396">
        <v>3788</v>
      </c>
      <c r="F1396">
        <v>378.8</v>
      </c>
      <c r="G1396" t="s">
        <v>49</v>
      </c>
      <c r="H1396" t="e">
        <f t="shared" si="42"/>
        <v>#VALUE!</v>
      </c>
      <c r="I1396" t="str">
        <f t="shared" si="43"/>
        <v>-</v>
      </c>
    </row>
    <row r="1397" spans="1:9" x14ac:dyDescent="0.2">
      <c r="A1397">
        <v>413102</v>
      </c>
      <c r="B1397" t="s">
        <v>50</v>
      </c>
      <c r="C1397" t="s">
        <v>8</v>
      </c>
      <c r="D1397" t="s">
        <v>51</v>
      </c>
      <c r="E1397">
        <v>24493</v>
      </c>
      <c r="F1397">
        <v>956.76</v>
      </c>
      <c r="G1397" t="s">
        <v>15</v>
      </c>
      <c r="H1397" t="str">
        <f t="shared" si="42"/>
        <v>PSI</v>
      </c>
      <c r="I1397">
        <f t="shared" si="43"/>
        <v>13.876630595075497</v>
      </c>
    </row>
    <row r="1398" spans="1:9" x14ac:dyDescent="0.2">
      <c r="A1398">
        <v>413305</v>
      </c>
      <c r="B1398" t="s">
        <v>52</v>
      </c>
      <c r="C1398" t="s">
        <v>8</v>
      </c>
      <c r="D1398" t="s">
        <v>53</v>
      </c>
      <c r="E1398">
        <v>94</v>
      </c>
      <c r="F1398">
        <v>22.5</v>
      </c>
      <c r="G1398" t="s">
        <v>10</v>
      </c>
      <c r="H1398" t="e">
        <f t="shared" si="42"/>
        <v>#VALUE!</v>
      </c>
      <c r="I1398" t="str">
        <f t="shared" si="43"/>
        <v>-</v>
      </c>
    </row>
    <row r="1399" spans="1:9" x14ac:dyDescent="0.2">
      <c r="A1399">
        <v>413497</v>
      </c>
      <c r="B1399" t="s">
        <v>54</v>
      </c>
      <c r="C1399" t="s">
        <v>8</v>
      </c>
      <c r="D1399" t="s">
        <v>55</v>
      </c>
      <c r="E1399">
        <v>4</v>
      </c>
      <c r="F1399">
        <v>16</v>
      </c>
      <c r="G1399" t="s">
        <v>56</v>
      </c>
      <c r="H1399" t="e">
        <f t="shared" si="42"/>
        <v>#VALUE!</v>
      </c>
      <c r="I1399" t="str">
        <f t="shared" si="43"/>
        <v>-</v>
      </c>
    </row>
    <row r="1400" spans="1:9" x14ac:dyDescent="0.2">
      <c r="A1400">
        <v>413879</v>
      </c>
      <c r="B1400" t="s">
        <v>57</v>
      </c>
      <c r="C1400" t="s">
        <v>8</v>
      </c>
      <c r="D1400" t="s">
        <v>58</v>
      </c>
      <c r="E1400" t="s">
        <v>18</v>
      </c>
      <c r="F1400" t="s">
        <v>18</v>
      </c>
      <c r="G1400" t="s">
        <v>18</v>
      </c>
      <c r="H1400" t="e">
        <f t="shared" si="42"/>
        <v>#VALUE!</v>
      </c>
      <c r="I1400" t="str">
        <f t="shared" si="43"/>
        <v>-</v>
      </c>
    </row>
    <row r="1401" spans="1:9" x14ac:dyDescent="0.2">
      <c r="A1401">
        <v>414261</v>
      </c>
      <c r="B1401" t="s">
        <v>59</v>
      </c>
      <c r="C1401" t="s">
        <v>8</v>
      </c>
      <c r="D1401" t="s">
        <v>60</v>
      </c>
      <c r="E1401" t="s">
        <v>18</v>
      </c>
      <c r="F1401" t="s">
        <v>18</v>
      </c>
      <c r="G1401" t="s">
        <v>18</v>
      </c>
      <c r="H1401" t="e">
        <f t="shared" si="42"/>
        <v>#VALUE!</v>
      </c>
      <c r="I1401" t="str">
        <f t="shared" si="43"/>
        <v>-</v>
      </c>
    </row>
    <row r="1402" spans="1:9" x14ac:dyDescent="0.2">
      <c r="A1402">
        <v>414643</v>
      </c>
      <c r="B1402" t="s">
        <v>61</v>
      </c>
      <c r="C1402" t="s">
        <v>8</v>
      </c>
      <c r="D1402" t="s">
        <v>62</v>
      </c>
      <c r="E1402" t="s">
        <v>18</v>
      </c>
      <c r="F1402" t="s">
        <v>18</v>
      </c>
      <c r="G1402" t="s">
        <v>18</v>
      </c>
      <c r="H1402" t="e">
        <f t="shared" si="42"/>
        <v>#VALUE!</v>
      </c>
      <c r="I1402" t="str">
        <f t="shared" si="43"/>
        <v>-</v>
      </c>
    </row>
    <row r="1403" spans="1:9" x14ac:dyDescent="0.2">
      <c r="A1403">
        <v>415015</v>
      </c>
      <c r="B1403" t="s">
        <v>63</v>
      </c>
      <c r="C1403" t="s">
        <v>8</v>
      </c>
      <c r="D1403" t="s">
        <v>64</v>
      </c>
      <c r="E1403" t="s">
        <v>18</v>
      </c>
      <c r="F1403" t="s">
        <v>18</v>
      </c>
      <c r="G1403" t="s">
        <v>18</v>
      </c>
      <c r="H1403" t="e">
        <f t="shared" si="42"/>
        <v>#VALUE!</v>
      </c>
      <c r="I1403" t="str">
        <f t="shared" si="43"/>
        <v>-</v>
      </c>
    </row>
    <row r="1404" spans="1:9" x14ac:dyDescent="0.2">
      <c r="A1404">
        <v>415277</v>
      </c>
      <c r="B1404" t="s">
        <v>65</v>
      </c>
      <c r="C1404" t="s">
        <v>8</v>
      </c>
      <c r="D1404" t="s">
        <v>66</v>
      </c>
      <c r="E1404">
        <v>29154</v>
      </c>
      <c r="F1404">
        <v>3.56</v>
      </c>
      <c r="G1404" t="s">
        <v>67</v>
      </c>
      <c r="H1404" t="e">
        <f t="shared" si="42"/>
        <v>#VALUE!</v>
      </c>
      <c r="I1404" t="str">
        <f t="shared" si="43"/>
        <v>-</v>
      </c>
    </row>
    <row r="1405" spans="1:9" x14ac:dyDescent="0.2">
      <c r="A1405">
        <v>415659</v>
      </c>
      <c r="B1405" t="s">
        <v>68</v>
      </c>
      <c r="C1405" t="s">
        <v>8</v>
      </c>
      <c r="D1405" t="s">
        <v>69</v>
      </c>
      <c r="E1405" t="s">
        <v>18</v>
      </c>
      <c r="F1405" t="s">
        <v>18</v>
      </c>
      <c r="G1405" t="s">
        <v>18</v>
      </c>
      <c r="H1405" t="e">
        <f t="shared" si="42"/>
        <v>#VALUE!</v>
      </c>
      <c r="I1405" t="str">
        <f t="shared" si="43"/>
        <v>-</v>
      </c>
    </row>
    <row r="1406" spans="1:9" x14ac:dyDescent="0.2">
      <c r="A1406">
        <v>415861</v>
      </c>
      <c r="B1406" t="s">
        <v>7</v>
      </c>
      <c r="C1406" t="s">
        <v>8</v>
      </c>
      <c r="D1406" t="s">
        <v>9</v>
      </c>
      <c r="E1406">
        <v>165</v>
      </c>
      <c r="F1406">
        <v>105</v>
      </c>
      <c r="G1406" t="s">
        <v>10</v>
      </c>
      <c r="H1406" t="e">
        <f t="shared" si="42"/>
        <v>#VALUE!</v>
      </c>
      <c r="I1406" t="str">
        <f t="shared" si="43"/>
        <v>-</v>
      </c>
    </row>
    <row r="1407" spans="1:9" x14ac:dyDescent="0.2">
      <c r="A1407">
        <v>416053</v>
      </c>
      <c r="B1407" t="s">
        <v>11</v>
      </c>
      <c r="C1407" t="s">
        <v>8</v>
      </c>
      <c r="D1407" t="s">
        <v>12</v>
      </c>
      <c r="E1407">
        <v>200</v>
      </c>
      <c r="F1407">
        <v>102</v>
      </c>
      <c r="G1407" t="s">
        <v>10</v>
      </c>
      <c r="H1407" t="e">
        <f t="shared" si="42"/>
        <v>#VALUE!</v>
      </c>
      <c r="I1407" t="str">
        <f t="shared" si="43"/>
        <v>-</v>
      </c>
    </row>
    <row r="1408" spans="1:9" x14ac:dyDescent="0.2">
      <c r="A1408">
        <v>416275</v>
      </c>
      <c r="B1408" t="s">
        <v>13</v>
      </c>
      <c r="C1408" t="s">
        <v>8</v>
      </c>
      <c r="D1408" t="s">
        <v>14</v>
      </c>
      <c r="E1408">
        <v>25902</v>
      </c>
      <c r="F1408">
        <v>1011.8</v>
      </c>
      <c r="G1408" t="s">
        <v>15</v>
      </c>
      <c r="H1408" t="str">
        <f t="shared" si="42"/>
        <v>PSI</v>
      </c>
      <c r="I1408">
        <f t="shared" si="43"/>
        <v>14.674918303542567</v>
      </c>
    </row>
    <row r="1409" spans="1:9" x14ac:dyDescent="0.2">
      <c r="A1409">
        <v>416657</v>
      </c>
      <c r="B1409" t="s">
        <v>16</v>
      </c>
      <c r="C1409" t="s">
        <v>8</v>
      </c>
      <c r="D1409" t="s">
        <v>17</v>
      </c>
      <c r="E1409" t="s">
        <v>18</v>
      </c>
      <c r="F1409" t="s">
        <v>18</v>
      </c>
      <c r="G1409" t="s">
        <v>18</v>
      </c>
      <c r="H1409" t="e">
        <f t="shared" si="42"/>
        <v>#VALUE!</v>
      </c>
      <c r="I1409" t="str">
        <f t="shared" si="43"/>
        <v>-</v>
      </c>
    </row>
    <row r="1410" spans="1:9" x14ac:dyDescent="0.2">
      <c r="A1410">
        <v>416869</v>
      </c>
      <c r="B1410" t="s">
        <v>19</v>
      </c>
      <c r="C1410" t="s">
        <v>8</v>
      </c>
      <c r="D1410" t="s">
        <v>20</v>
      </c>
      <c r="E1410">
        <v>13236</v>
      </c>
      <c r="F1410">
        <v>1034.06</v>
      </c>
      <c r="G1410" t="s">
        <v>15</v>
      </c>
      <c r="H1410" t="str">
        <f t="shared" si="42"/>
        <v>PSI</v>
      </c>
      <c r="I1410">
        <f t="shared" si="43"/>
        <v>14.997772307730013</v>
      </c>
    </row>
    <row r="1411" spans="1:9" x14ac:dyDescent="0.2">
      <c r="A1411">
        <v>417081</v>
      </c>
      <c r="B1411" t="s">
        <v>21</v>
      </c>
      <c r="C1411" t="s">
        <v>8</v>
      </c>
      <c r="D1411" t="s">
        <v>22</v>
      </c>
      <c r="E1411">
        <v>6495</v>
      </c>
      <c r="F1411">
        <v>1623.75</v>
      </c>
      <c r="G1411" t="s">
        <v>23</v>
      </c>
      <c r="H1411" t="e">
        <f t="shared" ref="H1411:H1474" si="44">IF(FIND("Pa",G1411,1),"PSI","-")</f>
        <v>#VALUE!</v>
      </c>
      <c r="I1411" t="str">
        <f t="shared" ref="I1411:I1474" si="45">IF(G1411="hPa",CONVERT(F1411*100,"Pa","psi"), IF(G1411="MPa",CONVERT(F1411*1000000,"Pa","psi"),"-"))</f>
        <v>-</v>
      </c>
    </row>
    <row r="1412" spans="1:9" x14ac:dyDescent="0.2">
      <c r="A1412">
        <v>417273</v>
      </c>
      <c r="B1412" t="s">
        <v>24</v>
      </c>
      <c r="C1412" t="s">
        <v>8</v>
      </c>
      <c r="D1412" t="s">
        <v>25</v>
      </c>
      <c r="E1412">
        <v>4</v>
      </c>
      <c r="F1412">
        <v>4</v>
      </c>
      <c r="G1412" t="s">
        <v>26</v>
      </c>
      <c r="H1412" t="e">
        <f t="shared" si="44"/>
        <v>#VALUE!</v>
      </c>
      <c r="I1412" t="str">
        <f t="shared" si="45"/>
        <v>-</v>
      </c>
    </row>
    <row r="1413" spans="1:9" x14ac:dyDescent="0.2">
      <c r="A1413">
        <v>417475</v>
      </c>
      <c r="B1413" t="s">
        <v>27</v>
      </c>
      <c r="C1413" t="s">
        <v>8</v>
      </c>
      <c r="D1413" t="s">
        <v>28</v>
      </c>
      <c r="E1413">
        <v>606</v>
      </c>
      <c r="F1413">
        <v>14.23</v>
      </c>
      <c r="G1413" t="s">
        <v>29</v>
      </c>
      <c r="H1413" t="e">
        <f t="shared" si="44"/>
        <v>#VALUE!</v>
      </c>
      <c r="I1413" t="str">
        <f t="shared" si="45"/>
        <v>-</v>
      </c>
    </row>
    <row r="1414" spans="1:9" x14ac:dyDescent="0.2">
      <c r="A1414">
        <v>417697</v>
      </c>
      <c r="B1414" t="s">
        <v>30</v>
      </c>
      <c r="C1414" t="s">
        <v>8</v>
      </c>
      <c r="D1414" t="s">
        <v>31</v>
      </c>
      <c r="E1414">
        <v>3912</v>
      </c>
      <c r="F1414">
        <v>3912</v>
      </c>
      <c r="G1414" t="s">
        <v>15</v>
      </c>
      <c r="H1414" t="str">
        <f t="shared" si="44"/>
        <v>PSI</v>
      </c>
      <c r="I1414">
        <f t="shared" si="45"/>
        <v>56.738763000057844</v>
      </c>
    </row>
    <row r="1415" spans="1:9" x14ac:dyDescent="0.2">
      <c r="A1415">
        <v>417909</v>
      </c>
      <c r="B1415" t="s">
        <v>32</v>
      </c>
      <c r="C1415" t="s">
        <v>8</v>
      </c>
      <c r="D1415" t="s">
        <v>33</v>
      </c>
      <c r="E1415">
        <v>3750</v>
      </c>
      <c r="F1415">
        <v>0.92</v>
      </c>
      <c r="G1415" t="s">
        <v>26</v>
      </c>
      <c r="H1415" t="e">
        <f t="shared" si="44"/>
        <v>#VALUE!</v>
      </c>
      <c r="I1415" t="str">
        <f t="shared" si="45"/>
        <v>-</v>
      </c>
    </row>
    <row r="1416" spans="1:9" x14ac:dyDescent="0.2">
      <c r="A1416">
        <v>418121</v>
      </c>
      <c r="B1416" t="s">
        <v>34</v>
      </c>
      <c r="C1416" t="s">
        <v>8</v>
      </c>
      <c r="D1416" t="s">
        <v>35</v>
      </c>
      <c r="E1416">
        <v>3825</v>
      </c>
      <c r="F1416">
        <v>0.93</v>
      </c>
      <c r="G1416" t="s">
        <v>26</v>
      </c>
      <c r="H1416" t="e">
        <f t="shared" si="44"/>
        <v>#VALUE!</v>
      </c>
      <c r="I1416" t="str">
        <f t="shared" si="45"/>
        <v>-</v>
      </c>
    </row>
    <row r="1417" spans="1:9" x14ac:dyDescent="0.2">
      <c r="A1417">
        <v>418503</v>
      </c>
      <c r="B1417" t="s">
        <v>36</v>
      </c>
      <c r="C1417" t="s">
        <v>8</v>
      </c>
      <c r="D1417" t="s">
        <v>37</v>
      </c>
      <c r="E1417" t="s">
        <v>18</v>
      </c>
      <c r="F1417" t="s">
        <v>18</v>
      </c>
      <c r="G1417" t="s">
        <v>18</v>
      </c>
      <c r="H1417" t="e">
        <f t="shared" si="44"/>
        <v>#VALUE!</v>
      </c>
      <c r="I1417" t="str">
        <f t="shared" si="45"/>
        <v>-</v>
      </c>
    </row>
    <row r="1418" spans="1:9" x14ac:dyDescent="0.2">
      <c r="A1418">
        <v>418885</v>
      </c>
      <c r="B1418" t="s">
        <v>38</v>
      </c>
      <c r="C1418" t="s">
        <v>8</v>
      </c>
      <c r="D1418" t="s">
        <v>39</v>
      </c>
      <c r="E1418" t="s">
        <v>18</v>
      </c>
      <c r="F1418" t="s">
        <v>18</v>
      </c>
      <c r="G1418" t="s">
        <v>18</v>
      </c>
      <c r="H1418" t="e">
        <f t="shared" si="44"/>
        <v>#VALUE!</v>
      </c>
      <c r="I1418" t="str">
        <f t="shared" si="45"/>
        <v>-</v>
      </c>
    </row>
    <row r="1419" spans="1:9" x14ac:dyDescent="0.2">
      <c r="A1419">
        <v>419267</v>
      </c>
      <c r="B1419" t="s">
        <v>40</v>
      </c>
      <c r="C1419" t="s">
        <v>8</v>
      </c>
      <c r="D1419" t="s">
        <v>41</v>
      </c>
      <c r="E1419" t="s">
        <v>18</v>
      </c>
      <c r="F1419" t="s">
        <v>18</v>
      </c>
      <c r="G1419" t="s">
        <v>18</v>
      </c>
      <c r="H1419" t="e">
        <f t="shared" si="44"/>
        <v>#VALUE!</v>
      </c>
      <c r="I1419" t="str">
        <f t="shared" si="45"/>
        <v>-</v>
      </c>
    </row>
    <row r="1420" spans="1:9" x14ac:dyDescent="0.2">
      <c r="A1420">
        <v>419479</v>
      </c>
      <c r="B1420" t="s">
        <v>42</v>
      </c>
      <c r="C1420" t="s">
        <v>8</v>
      </c>
      <c r="D1420" t="s">
        <v>43</v>
      </c>
      <c r="E1420">
        <v>12122</v>
      </c>
      <c r="F1420">
        <v>6.06</v>
      </c>
      <c r="G1420" t="s">
        <v>44</v>
      </c>
      <c r="H1420" t="str">
        <f t="shared" si="44"/>
        <v>PSI</v>
      </c>
      <c r="I1420">
        <f t="shared" si="45"/>
        <v>878.92869064506783</v>
      </c>
    </row>
    <row r="1421" spans="1:9" x14ac:dyDescent="0.2">
      <c r="A1421">
        <v>419671</v>
      </c>
      <c r="B1421" t="s">
        <v>45</v>
      </c>
      <c r="C1421" t="s">
        <v>8</v>
      </c>
      <c r="D1421" t="s">
        <v>46</v>
      </c>
      <c r="E1421">
        <v>1</v>
      </c>
      <c r="F1421">
        <v>1</v>
      </c>
      <c r="G1421" t="s">
        <v>15</v>
      </c>
      <c r="H1421" t="str">
        <f t="shared" si="44"/>
        <v>PSI</v>
      </c>
      <c r="I1421">
        <f t="shared" si="45"/>
        <v>1.4503773773020921E-2</v>
      </c>
    </row>
    <row r="1422" spans="1:9" x14ac:dyDescent="0.2">
      <c r="A1422">
        <v>419893</v>
      </c>
      <c r="B1422" t="s">
        <v>47</v>
      </c>
      <c r="C1422" t="s">
        <v>8</v>
      </c>
      <c r="D1422" t="s">
        <v>48</v>
      </c>
      <c r="E1422">
        <v>3858</v>
      </c>
      <c r="F1422">
        <v>385.8</v>
      </c>
      <c r="G1422" t="s">
        <v>49</v>
      </c>
      <c r="H1422" t="e">
        <f t="shared" si="44"/>
        <v>#VALUE!</v>
      </c>
      <c r="I1422" t="str">
        <f t="shared" si="45"/>
        <v>-</v>
      </c>
    </row>
    <row r="1423" spans="1:9" x14ac:dyDescent="0.2">
      <c r="A1423">
        <v>420105</v>
      </c>
      <c r="B1423" t="s">
        <v>50</v>
      </c>
      <c r="C1423" t="s">
        <v>8</v>
      </c>
      <c r="D1423" t="s">
        <v>51</v>
      </c>
      <c r="E1423">
        <v>24948</v>
      </c>
      <c r="F1423">
        <v>974.53</v>
      </c>
      <c r="G1423" t="s">
        <v>15</v>
      </c>
      <c r="H1423" t="str">
        <f t="shared" si="44"/>
        <v>PSI</v>
      </c>
      <c r="I1423">
        <f t="shared" si="45"/>
        <v>14.134362655022079</v>
      </c>
    </row>
    <row r="1424" spans="1:9" x14ac:dyDescent="0.2">
      <c r="A1424">
        <v>420287</v>
      </c>
      <c r="B1424" t="s">
        <v>52</v>
      </c>
      <c r="C1424" t="s">
        <v>8</v>
      </c>
      <c r="D1424" t="s">
        <v>53</v>
      </c>
      <c r="E1424">
        <v>93</v>
      </c>
      <c r="F1424">
        <v>21.75</v>
      </c>
      <c r="G1424" t="s">
        <v>10</v>
      </c>
      <c r="H1424" t="e">
        <f t="shared" si="44"/>
        <v>#VALUE!</v>
      </c>
      <c r="I1424" t="str">
        <f t="shared" si="45"/>
        <v>-</v>
      </c>
    </row>
    <row r="1425" spans="1:9" x14ac:dyDescent="0.2">
      <c r="A1425">
        <v>420479</v>
      </c>
      <c r="B1425" t="s">
        <v>54</v>
      </c>
      <c r="C1425" t="s">
        <v>8</v>
      </c>
      <c r="D1425" t="s">
        <v>55</v>
      </c>
      <c r="E1425">
        <v>4</v>
      </c>
      <c r="F1425">
        <v>16</v>
      </c>
      <c r="G1425" t="s">
        <v>56</v>
      </c>
      <c r="H1425" t="e">
        <f t="shared" si="44"/>
        <v>#VALUE!</v>
      </c>
      <c r="I1425" t="str">
        <f t="shared" si="45"/>
        <v>-</v>
      </c>
    </row>
    <row r="1426" spans="1:9" x14ac:dyDescent="0.2">
      <c r="A1426">
        <v>420861</v>
      </c>
      <c r="B1426" t="s">
        <v>57</v>
      </c>
      <c r="C1426" t="s">
        <v>8</v>
      </c>
      <c r="D1426" t="s">
        <v>58</v>
      </c>
      <c r="E1426" t="s">
        <v>18</v>
      </c>
      <c r="F1426" t="s">
        <v>18</v>
      </c>
      <c r="G1426" t="s">
        <v>18</v>
      </c>
      <c r="H1426" t="e">
        <f t="shared" si="44"/>
        <v>#VALUE!</v>
      </c>
      <c r="I1426" t="str">
        <f t="shared" si="45"/>
        <v>-</v>
      </c>
    </row>
    <row r="1427" spans="1:9" x14ac:dyDescent="0.2">
      <c r="A1427">
        <v>421243</v>
      </c>
      <c r="B1427" t="s">
        <v>59</v>
      </c>
      <c r="C1427" t="s">
        <v>8</v>
      </c>
      <c r="D1427" t="s">
        <v>60</v>
      </c>
      <c r="E1427" t="s">
        <v>18</v>
      </c>
      <c r="F1427" t="s">
        <v>18</v>
      </c>
      <c r="G1427" t="s">
        <v>18</v>
      </c>
      <c r="H1427" t="e">
        <f t="shared" si="44"/>
        <v>#VALUE!</v>
      </c>
      <c r="I1427" t="str">
        <f t="shared" si="45"/>
        <v>-</v>
      </c>
    </row>
    <row r="1428" spans="1:9" x14ac:dyDescent="0.2">
      <c r="A1428">
        <v>421624</v>
      </c>
      <c r="B1428" t="s">
        <v>61</v>
      </c>
      <c r="C1428" t="s">
        <v>8</v>
      </c>
      <c r="D1428" t="s">
        <v>62</v>
      </c>
      <c r="E1428" t="s">
        <v>18</v>
      </c>
      <c r="F1428" t="s">
        <v>18</v>
      </c>
      <c r="G1428" t="s">
        <v>18</v>
      </c>
      <c r="H1428" t="e">
        <f t="shared" si="44"/>
        <v>#VALUE!</v>
      </c>
      <c r="I1428" t="str">
        <f t="shared" si="45"/>
        <v>-</v>
      </c>
    </row>
    <row r="1429" spans="1:9" x14ac:dyDescent="0.2">
      <c r="A1429">
        <v>422006</v>
      </c>
      <c r="B1429" t="s">
        <v>63</v>
      </c>
      <c r="C1429" t="s">
        <v>8</v>
      </c>
      <c r="D1429" t="s">
        <v>64</v>
      </c>
      <c r="E1429" t="s">
        <v>18</v>
      </c>
      <c r="F1429" t="s">
        <v>18</v>
      </c>
      <c r="G1429" t="s">
        <v>18</v>
      </c>
      <c r="H1429" t="e">
        <f t="shared" si="44"/>
        <v>#VALUE!</v>
      </c>
      <c r="I1429" t="str">
        <f t="shared" si="45"/>
        <v>-</v>
      </c>
    </row>
    <row r="1430" spans="1:9" x14ac:dyDescent="0.2">
      <c r="A1430">
        <v>422268</v>
      </c>
      <c r="B1430" t="s">
        <v>65</v>
      </c>
      <c r="C1430" t="s">
        <v>8</v>
      </c>
      <c r="D1430" t="s">
        <v>66</v>
      </c>
      <c r="E1430">
        <v>29225</v>
      </c>
      <c r="F1430">
        <v>3.57</v>
      </c>
      <c r="G1430" t="s">
        <v>67</v>
      </c>
      <c r="H1430" t="e">
        <f t="shared" si="44"/>
        <v>#VALUE!</v>
      </c>
      <c r="I1430" t="str">
        <f t="shared" si="45"/>
        <v>-</v>
      </c>
    </row>
    <row r="1431" spans="1:9" x14ac:dyDescent="0.2">
      <c r="A1431">
        <v>422649</v>
      </c>
      <c r="B1431" t="s">
        <v>68</v>
      </c>
      <c r="C1431" t="s">
        <v>8</v>
      </c>
      <c r="D1431" t="s">
        <v>69</v>
      </c>
      <c r="E1431" t="s">
        <v>18</v>
      </c>
      <c r="F1431" t="s">
        <v>18</v>
      </c>
      <c r="G1431" t="s">
        <v>18</v>
      </c>
      <c r="H1431" t="e">
        <f t="shared" si="44"/>
        <v>#VALUE!</v>
      </c>
      <c r="I1431" t="str">
        <f t="shared" si="45"/>
        <v>-</v>
      </c>
    </row>
    <row r="1432" spans="1:9" x14ac:dyDescent="0.2">
      <c r="A1432">
        <v>422851</v>
      </c>
      <c r="B1432" t="s">
        <v>7</v>
      </c>
      <c r="C1432" t="s">
        <v>8</v>
      </c>
      <c r="D1432" t="s">
        <v>9</v>
      </c>
      <c r="E1432">
        <v>165</v>
      </c>
      <c r="F1432">
        <v>105</v>
      </c>
      <c r="G1432" t="s">
        <v>10</v>
      </c>
      <c r="H1432" t="e">
        <f t="shared" si="44"/>
        <v>#VALUE!</v>
      </c>
      <c r="I1432" t="str">
        <f t="shared" si="45"/>
        <v>-</v>
      </c>
    </row>
    <row r="1433" spans="1:9" x14ac:dyDescent="0.2">
      <c r="A1433">
        <v>423043</v>
      </c>
      <c r="B1433" t="s">
        <v>11</v>
      </c>
      <c r="C1433" t="s">
        <v>8</v>
      </c>
      <c r="D1433" t="s">
        <v>12</v>
      </c>
      <c r="E1433">
        <v>202</v>
      </c>
      <c r="F1433">
        <v>103.5</v>
      </c>
      <c r="G1433" t="s">
        <v>10</v>
      </c>
      <c r="H1433" t="e">
        <f t="shared" si="44"/>
        <v>#VALUE!</v>
      </c>
      <c r="I1433" t="str">
        <f t="shared" si="45"/>
        <v>-</v>
      </c>
    </row>
    <row r="1434" spans="1:9" x14ac:dyDescent="0.2">
      <c r="A1434">
        <v>423245</v>
      </c>
      <c r="B1434" t="s">
        <v>13</v>
      </c>
      <c r="C1434" t="s">
        <v>8</v>
      </c>
      <c r="D1434" t="s">
        <v>14</v>
      </c>
      <c r="E1434">
        <v>25902</v>
      </c>
      <c r="F1434">
        <v>1011.8</v>
      </c>
      <c r="G1434" t="s">
        <v>15</v>
      </c>
      <c r="H1434" t="str">
        <f t="shared" si="44"/>
        <v>PSI</v>
      </c>
      <c r="I1434">
        <f t="shared" si="45"/>
        <v>14.674918303542567</v>
      </c>
    </row>
    <row r="1435" spans="1:9" x14ac:dyDescent="0.2">
      <c r="A1435">
        <v>423627</v>
      </c>
      <c r="B1435" t="s">
        <v>16</v>
      </c>
      <c r="C1435" t="s">
        <v>8</v>
      </c>
      <c r="D1435" t="s">
        <v>17</v>
      </c>
      <c r="E1435" t="s">
        <v>18</v>
      </c>
      <c r="F1435" t="s">
        <v>18</v>
      </c>
      <c r="G1435" t="s">
        <v>18</v>
      </c>
      <c r="H1435" t="e">
        <f t="shared" si="44"/>
        <v>#VALUE!</v>
      </c>
      <c r="I1435" t="str">
        <f t="shared" si="45"/>
        <v>-</v>
      </c>
    </row>
    <row r="1436" spans="1:9" x14ac:dyDescent="0.2">
      <c r="A1436">
        <v>423849</v>
      </c>
      <c r="B1436" t="s">
        <v>19</v>
      </c>
      <c r="C1436" t="s">
        <v>8</v>
      </c>
      <c r="D1436" t="s">
        <v>20</v>
      </c>
      <c r="E1436">
        <v>13093</v>
      </c>
      <c r="F1436">
        <v>1022.89</v>
      </c>
      <c r="G1436" t="s">
        <v>15</v>
      </c>
      <c r="H1436" t="str">
        <f t="shared" si="44"/>
        <v>PSI</v>
      </c>
      <c r="I1436">
        <f t="shared" si="45"/>
        <v>14.835765154685369</v>
      </c>
    </row>
    <row r="1437" spans="1:9" x14ac:dyDescent="0.2">
      <c r="A1437">
        <v>424062</v>
      </c>
      <c r="B1437" t="s">
        <v>21</v>
      </c>
      <c r="C1437" t="s">
        <v>8</v>
      </c>
      <c r="D1437" t="s">
        <v>22</v>
      </c>
      <c r="E1437">
        <v>5341</v>
      </c>
      <c r="F1437">
        <v>1335.25</v>
      </c>
      <c r="G1437" t="s">
        <v>23</v>
      </c>
      <c r="H1437" t="e">
        <f t="shared" si="44"/>
        <v>#VALUE!</v>
      </c>
      <c r="I1437" t="str">
        <f t="shared" si="45"/>
        <v>-</v>
      </c>
    </row>
    <row r="1438" spans="1:9" x14ac:dyDescent="0.2">
      <c r="A1438">
        <v>424244</v>
      </c>
      <c r="B1438" t="s">
        <v>24</v>
      </c>
      <c r="C1438" t="s">
        <v>8</v>
      </c>
      <c r="D1438" t="s">
        <v>25</v>
      </c>
      <c r="E1438">
        <v>4</v>
      </c>
      <c r="F1438">
        <v>4</v>
      </c>
      <c r="G1438" t="s">
        <v>26</v>
      </c>
      <c r="H1438" t="e">
        <f t="shared" si="44"/>
        <v>#VALUE!</v>
      </c>
      <c r="I1438" t="str">
        <f t="shared" si="45"/>
        <v>-</v>
      </c>
    </row>
    <row r="1439" spans="1:9" x14ac:dyDescent="0.2">
      <c r="A1439">
        <v>424456</v>
      </c>
      <c r="B1439" t="s">
        <v>27</v>
      </c>
      <c r="C1439" t="s">
        <v>8</v>
      </c>
      <c r="D1439" t="s">
        <v>28</v>
      </c>
      <c r="E1439">
        <v>603</v>
      </c>
      <c r="F1439">
        <v>14.16</v>
      </c>
      <c r="G1439" t="s">
        <v>29</v>
      </c>
      <c r="H1439" t="e">
        <f t="shared" si="44"/>
        <v>#VALUE!</v>
      </c>
      <c r="I1439" t="str">
        <f t="shared" si="45"/>
        <v>-</v>
      </c>
    </row>
    <row r="1440" spans="1:9" x14ac:dyDescent="0.2">
      <c r="A1440">
        <v>424678</v>
      </c>
      <c r="B1440" t="s">
        <v>30</v>
      </c>
      <c r="C1440" t="s">
        <v>8</v>
      </c>
      <c r="D1440" t="s">
        <v>31</v>
      </c>
      <c r="E1440">
        <v>2694</v>
      </c>
      <c r="F1440">
        <v>2694</v>
      </c>
      <c r="G1440" t="s">
        <v>15</v>
      </c>
      <c r="H1440" t="str">
        <f t="shared" si="44"/>
        <v>PSI</v>
      </c>
      <c r="I1440">
        <f t="shared" si="45"/>
        <v>39.073166544518358</v>
      </c>
    </row>
    <row r="1441" spans="1:9" x14ac:dyDescent="0.2">
      <c r="A1441">
        <v>424890</v>
      </c>
      <c r="B1441" t="s">
        <v>32</v>
      </c>
      <c r="C1441" t="s">
        <v>8</v>
      </c>
      <c r="D1441" t="s">
        <v>33</v>
      </c>
      <c r="E1441">
        <v>53262</v>
      </c>
      <c r="F1441">
        <v>13</v>
      </c>
      <c r="G1441" t="s">
        <v>26</v>
      </c>
      <c r="H1441" t="e">
        <f t="shared" si="44"/>
        <v>#VALUE!</v>
      </c>
      <c r="I1441" t="str">
        <f t="shared" si="45"/>
        <v>-</v>
      </c>
    </row>
    <row r="1442" spans="1:9" x14ac:dyDescent="0.2">
      <c r="A1442">
        <v>425103</v>
      </c>
      <c r="B1442" t="s">
        <v>34</v>
      </c>
      <c r="C1442" t="s">
        <v>8</v>
      </c>
      <c r="D1442" t="s">
        <v>35</v>
      </c>
      <c r="E1442">
        <v>65299</v>
      </c>
      <c r="F1442">
        <v>15.94</v>
      </c>
      <c r="G1442" t="s">
        <v>26</v>
      </c>
      <c r="H1442" t="e">
        <f t="shared" si="44"/>
        <v>#VALUE!</v>
      </c>
      <c r="I1442" t="str">
        <f t="shared" si="45"/>
        <v>-</v>
      </c>
    </row>
    <row r="1443" spans="1:9" x14ac:dyDescent="0.2">
      <c r="A1443">
        <v>425485</v>
      </c>
      <c r="B1443" t="s">
        <v>36</v>
      </c>
      <c r="C1443" t="s">
        <v>8</v>
      </c>
      <c r="D1443" t="s">
        <v>37</v>
      </c>
      <c r="E1443" t="s">
        <v>18</v>
      </c>
      <c r="F1443" t="s">
        <v>18</v>
      </c>
      <c r="G1443" t="s">
        <v>18</v>
      </c>
      <c r="H1443" t="e">
        <f t="shared" si="44"/>
        <v>#VALUE!</v>
      </c>
      <c r="I1443" t="str">
        <f t="shared" si="45"/>
        <v>-</v>
      </c>
    </row>
    <row r="1444" spans="1:9" x14ac:dyDescent="0.2">
      <c r="A1444">
        <v>425867</v>
      </c>
      <c r="B1444" t="s">
        <v>38</v>
      </c>
      <c r="C1444" t="s">
        <v>8</v>
      </c>
      <c r="D1444" t="s">
        <v>39</v>
      </c>
      <c r="E1444" t="s">
        <v>18</v>
      </c>
      <c r="F1444" t="s">
        <v>18</v>
      </c>
      <c r="G1444" t="s">
        <v>18</v>
      </c>
      <c r="H1444" t="e">
        <f t="shared" si="44"/>
        <v>#VALUE!</v>
      </c>
      <c r="I1444" t="str">
        <f t="shared" si="45"/>
        <v>-</v>
      </c>
    </row>
    <row r="1445" spans="1:9" x14ac:dyDescent="0.2">
      <c r="A1445">
        <v>426249</v>
      </c>
      <c r="B1445" t="s">
        <v>40</v>
      </c>
      <c r="C1445" t="s">
        <v>8</v>
      </c>
      <c r="D1445" t="s">
        <v>41</v>
      </c>
      <c r="E1445" t="s">
        <v>18</v>
      </c>
      <c r="F1445" t="s">
        <v>18</v>
      </c>
      <c r="G1445" t="s">
        <v>18</v>
      </c>
      <c r="H1445" t="e">
        <f t="shared" si="44"/>
        <v>#VALUE!</v>
      </c>
      <c r="I1445" t="str">
        <f t="shared" si="45"/>
        <v>-</v>
      </c>
    </row>
    <row r="1446" spans="1:9" x14ac:dyDescent="0.2">
      <c r="A1446">
        <v>426461</v>
      </c>
      <c r="B1446" t="s">
        <v>42</v>
      </c>
      <c r="C1446" t="s">
        <v>8</v>
      </c>
      <c r="D1446" t="s">
        <v>43</v>
      </c>
      <c r="E1446">
        <v>8818</v>
      </c>
      <c r="F1446">
        <v>4.41</v>
      </c>
      <c r="G1446" t="s">
        <v>44</v>
      </c>
      <c r="H1446" t="str">
        <f t="shared" si="44"/>
        <v>PSI</v>
      </c>
      <c r="I1446">
        <f t="shared" si="45"/>
        <v>639.61642339022262</v>
      </c>
    </row>
    <row r="1447" spans="1:9" x14ac:dyDescent="0.2">
      <c r="A1447">
        <v>426653</v>
      </c>
      <c r="B1447" t="s">
        <v>45</v>
      </c>
      <c r="C1447" t="s">
        <v>8</v>
      </c>
      <c r="D1447" t="s">
        <v>46</v>
      </c>
      <c r="E1447">
        <v>12</v>
      </c>
      <c r="F1447">
        <v>12</v>
      </c>
      <c r="G1447" t="s">
        <v>15</v>
      </c>
      <c r="H1447" t="str">
        <f t="shared" si="44"/>
        <v>PSI</v>
      </c>
      <c r="I1447">
        <f t="shared" si="45"/>
        <v>0.17404528527625104</v>
      </c>
    </row>
    <row r="1448" spans="1:9" x14ac:dyDescent="0.2">
      <c r="A1448">
        <v>426865</v>
      </c>
      <c r="B1448" t="s">
        <v>47</v>
      </c>
      <c r="C1448" t="s">
        <v>8</v>
      </c>
      <c r="D1448" t="s">
        <v>48</v>
      </c>
      <c r="E1448">
        <v>3928</v>
      </c>
      <c r="F1448">
        <v>392.8</v>
      </c>
      <c r="G1448" t="s">
        <v>49</v>
      </c>
      <c r="H1448" t="e">
        <f t="shared" si="44"/>
        <v>#VALUE!</v>
      </c>
      <c r="I1448" t="str">
        <f t="shared" si="45"/>
        <v>-</v>
      </c>
    </row>
    <row r="1449" spans="1:9" x14ac:dyDescent="0.2">
      <c r="A1449">
        <v>427077</v>
      </c>
      <c r="B1449" t="s">
        <v>50</v>
      </c>
      <c r="C1449" t="s">
        <v>8</v>
      </c>
      <c r="D1449" t="s">
        <v>51</v>
      </c>
      <c r="E1449">
        <v>24497</v>
      </c>
      <c r="F1449">
        <v>956.91</v>
      </c>
      <c r="G1449" t="s">
        <v>15</v>
      </c>
      <c r="H1449" t="str">
        <f t="shared" si="44"/>
        <v>PSI</v>
      </c>
      <c r="I1449">
        <f t="shared" si="45"/>
        <v>13.878806161141449</v>
      </c>
    </row>
    <row r="1450" spans="1:9" x14ac:dyDescent="0.2">
      <c r="A1450">
        <v>427269</v>
      </c>
      <c r="B1450" t="s">
        <v>52</v>
      </c>
      <c r="C1450" t="s">
        <v>8</v>
      </c>
      <c r="D1450" t="s">
        <v>53</v>
      </c>
      <c r="E1450">
        <v>93</v>
      </c>
      <c r="F1450">
        <v>21.75</v>
      </c>
      <c r="G1450" t="s">
        <v>10</v>
      </c>
      <c r="H1450" t="e">
        <f t="shared" si="44"/>
        <v>#VALUE!</v>
      </c>
      <c r="I1450" t="str">
        <f t="shared" si="45"/>
        <v>-</v>
      </c>
    </row>
    <row r="1451" spans="1:9" x14ac:dyDescent="0.2">
      <c r="A1451">
        <v>427461</v>
      </c>
      <c r="B1451" t="s">
        <v>54</v>
      </c>
      <c r="C1451" t="s">
        <v>8</v>
      </c>
      <c r="D1451" t="s">
        <v>55</v>
      </c>
      <c r="E1451">
        <v>3</v>
      </c>
      <c r="F1451">
        <v>12</v>
      </c>
      <c r="G1451" t="s">
        <v>56</v>
      </c>
      <c r="H1451" t="e">
        <f t="shared" si="44"/>
        <v>#VALUE!</v>
      </c>
      <c r="I1451" t="str">
        <f t="shared" si="45"/>
        <v>-</v>
      </c>
    </row>
    <row r="1452" spans="1:9" x14ac:dyDescent="0.2">
      <c r="A1452">
        <v>427843</v>
      </c>
      <c r="B1452" t="s">
        <v>57</v>
      </c>
      <c r="C1452" t="s">
        <v>8</v>
      </c>
      <c r="D1452" t="s">
        <v>58</v>
      </c>
      <c r="E1452" t="s">
        <v>18</v>
      </c>
      <c r="F1452" t="s">
        <v>18</v>
      </c>
      <c r="G1452" t="s">
        <v>18</v>
      </c>
      <c r="H1452" t="e">
        <f t="shared" si="44"/>
        <v>#VALUE!</v>
      </c>
      <c r="I1452" t="str">
        <f t="shared" si="45"/>
        <v>-</v>
      </c>
    </row>
    <row r="1453" spans="1:9" x14ac:dyDescent="0.2">
      <c r="A1453">
        <v>428225</v>
      </c>
      <c r="B1453" t="s">
        <v>59</v>
      </c>
      <c r="C1453" t="s">
        <v>8</v>
      </c>
      <c r="D1453" t="s">
        <v>60</v>
      </c>
      <c r="E1453" t="s">
        <v>18</v>
      </c>
      <c r="F1453" t="s">
        <v>18</v>
      </c>
      <c r="G1453" t="s">
        <v>18</v>
      </c>
      <c r="H1453" t="e">
        <f t="shared" si="44"/>
        <v>#VALUE!</v>
      </c>
      <c r="I1453" t="str">
        <f t="shared" si="45"/>
        <v>-</v>
      </c>
    </row>
    <row r="1454" spans="1:9" x14ac:dyDescent="0.2">
      <c r="A1454">
        <v>428607</v>
      </c>
      <c r="B1454" t="s">
        <v>61</v>
      </c>
      <c r="C1454" t="s">
        <v>8</v>
      </c>
      <c r="D1454" t="s">
        <v>62</v>
      </c>
      <c r="E1454" t="s">
        <v>18</v>
      </c>
      <c r="F1454" t="s">
        <v>18</v>
      </c>
      <c r="G1454" t="s">
        <v>18</v>
      </c>
      <c r="H1454" t="e">
        <f t="shared" si="44"/>
        <v>#VALUE!</v>
      </c>
      <c r="I1454" t="str">
        <f t="shared" si="45"/>
        <v>-</v>
      </c>
    </row>
    <row r="1455" spans="1:9" x14ac:dyDescent="0.2">
      <c r="A1455">
        <v>428989</v>
      </c>
      <c r="B1455" t="s">
        <v>63</v>
      </c>
      <c r="C1455" t="s">
        <v>8</v>
      </c>
      <c r="D1455" t="s">
        <v>64</v>
      </c>
      <c r="E1455" t="s">
        <v>18</v>
      </c>
      <c r="F1455" t="s">
        <v>18</v>
      </c>
      <c r="G1455" t="s">
        <v>18</v>
      </c>
      <c r="H1455" t="e">
        <f t="shared" si="44"/>
        <v>#VALUE!</v>
      </c>
      <c r="I1455" t="str">
        <f t="shared" si="45"/>
        <v>-</v>
      </c>
    </row>
    <row r="1456" spans="1:9" x14ac:dyDescent="0.2">
      <c r="A1456">
        <v>429241</v>
      </c>
      <c r="B1456" t="s">
        <v>65</v>
      </c>
      <c r="C1456" t="s">
        <v>8</v>
      </c>
      <c r="D1456" t="s">
        <v>66</v>
      </c>
      <c r="E1456">
        <v>29237</v>
      </c>
      <c r="F1456">
        <v>3.57</v>
      </c>
      <c r="G1456" t="s">
        <v>67</v>
      </c>
      <c r="H1456" t="e">
        <f t="shared" si="44"/>
        <v>#VALUE!</v>
      </c>
      <c r="I1456" t="str">
        <f t="shared" si="45"/>
        <v>-</v>
      </c>
    </row>
    <row r="1457" spans="1:9" x14ac:dyDescent="0.2">
      <c r="A1457">
        <v>429614</v>
      </c>
      <c r="B1457" t="s">
        <v>68</v>
      </c>
      <c r="C1457" t="s">
        <v>8</v>
      </c>
      <c r="D1457" t="s">
        <v>69</v>
      </c>
      <c r="E1457" t="s">
        <v>18</v>
      </c>
      <c r="F1457" t="s">
        <v>18</v>
      </c>
      <c r="G1457" t="s">
        <v>18</v>
      </c>
      <c r="H1457" t="e">
        <f t="shared" si="44"/>
        <v>#VALUE!</v>
      </c>
      <c r="I1457" t="str">
        <f t="shared" si="45"/>
        <v>-</v>
      </c>
    </row>
    <row r="1458" spans="1:9" x14ac:dyDescent="0.2">
      <c r="A1458">
        <v>429866</v>
      </c>
      <c r="B1458" t="s">
        <v>7</v>
      </c>
      <c r="C1458" t="s">
        <v>8</v>
      </c>
      <c r="D1458" t="s">
        <v>9</v>
      </c>
      <c r="E1458">
        <v>165</v>
      </c>
      <c r="F1458">
        <v>105</v>
      </c>
      <c r="G1458" t="s">
        <v>10</v>
      </c>
      <c r="H1458" t="e">
        <f t="shared" si="44"/>
        <v>#VALUE!</v>
      </c>
      <c r="I1458" t="str">
        <f t="shared" si="45"/>
        <v>-</v>
      </c>
    </row>
    <row r="1459" spans="1:9" x14ac:dyDescent="0.2">
      <c r="A1459">
        <v>430058</v>
      </c>
      <c r="B1459" t="s">
        <v>11</v>
      </c>
      <c r="C1459" t="s">
        <v>8</v>
      </c>
      <c r="D1459" t="s">
        <v>12</v>
      </c>
      <c r="E1459">
        <v>203</v>
      </c>
      <c r="F1459">
        <v>104.25</v>
      </c>
      <c r="G1459" t="s">
        <v>10</v>
      </c>
      <c r="H1459" t="e">
        <f t="shared" si="44"/>
        <v>#VALUE!</v>
      </c>
      <c r="I1459" t="str">
        <f t="shared" si="45"/>
        <v>-</v>
      </c>
    </row>
    <row r="1460" spans="1:9" x14ac:dyDescent="0.2">
      <c r="A1460">
        <v>430271</v>
      </c>
      <c r="B1460" t="s">
        <v>13</v>
      </c>
      <c r="C1460" t="s">
        <v>8</v>
      </c>
      <c r="D1460" t="s">
        <v>14</v>
      </c>
      <c r="E1460">
        <v>25902</v>
      </c>
      <c r="F1460">
        <v>1011.8</v>
      </c>
      <c r="G1460" t="s">
        <v>15</v>
      </c>
      <c r="H1460" t="str">
        <f t="shared" si="44"/>
        <v>PSI</v>
      </c>
      <c r="I1460">
        <f t="shared" si="45"/>
        <v>14.674918303542567</v>
      </c>
    </row>
    <row r="1461" spans="1:9" x14ac:dyDescent="0.2">
      <c r="A1461">
        <v>430643</v>
      </c>
      <c r="B1461" t="s">
        <v>16</v>
      </c>
      <c r="C1461" t="s">
        <v>8</v>
      </c>
      <c r="D1461" t="s">
        <v>17</v>
      </c>
      <c r="E1461" t="s">
        <v>18</v>
      </c>
      <c r="F1461" t="s">
        <v>18</v>
      </c>
      <c r="G1461" t="s">
        <v>18</v>
      </c>
      <c r="H1461" t="e">
        <f t="shared" si="44"/>
        <v>#VALUE!</v>
      </c>
      <c r="I1461" t="str">
        <f t="shared" si="45"/>
        <v>-</v>
      </c>
    </row>
    <row r="1462" spans="1:9" x14ac:dyDescent="0.2">
      <c r="A1462">
        <v>430855</v>
      </c>
      <c r="B1462" t="s">
        <v>19</v>
      </c>
      <c r="C1462" t="s">
        <v>8</v>
      </c>
      <c r="D1462" t="s">
        <v>20</v>
      </c>
      <c r="E1462">
        <v>13069</v>
      </c>
      <c r="F1462">
        <v>1021.02</v>
      </c>
      <c r="G1462" t="s">
        <v>15</v>
      </c>
      <c r="H1462" t="str">
        <f t="shared" si="44"/>
        <v>PSI</v>
      </c>
      <c r="I1462">
        <f t="shared" si="45"/>
        <v>14.808643097729821</v>
      </c>
    </row>
    <row r="1463" spans="1:9" x14ac:dyDescent="0.2">
      <c r="A1463">
        <v>431067</v>
      </c>
      <c r="B1463" t="s">
        <v>21</v>
      </c>
      <c r="C1463" t="s">
        <v>8</v>
      </c>
      <c r="D1463" t="s">
        <v>22</v>
      </c>
      <c r="E1463">
        <v>4663</v>
      </c>
      <c r="F1463">
        <v>1165.75</v>
      </c>
      <c r="G1463" t="s">
        <v>23</v>
      </c>
      <c r="H1463" t="e">
        <f t="shared" si="44"/>
        <v>#VALUE!</v>
      </c>
      <c r="I1463" t="str">
        <f t="shared" si="45"/>
        <v>-</v>
      </c>
    </row>
    <row r="1464" spans="1:9" x14ac:dyDescent="0.2">
      <c r="A1464">
        <v>431259</v>
      </c>
      <c r="B1464" t="s">
        <v>24</v>
      </c>
      <c r="C1464" t="s">
        <v>8</v>
      </c>
      <c r="D1464" t="s">
        <v>25</v>
      </c>
      <c r="E1464">
        <v>2</v>
      </c>
      <c r="F1464">
        <v>2</v>
      </c>
      <c r="G1464" t="s">
        <v>26</v>
      </c>
      <c r="H1464" t="e">
        <f t="shared" si="44"/>
        <v>#VALUE!</v>
      </c>
      <c r="I1464" t="str">
        <f t="shared" si="45"/>
        <v>-</v>
      </c>
    </row>
    <row r="1465" spans="1:9" x14ac:dyDescent="0.2">
      <c r="A1465">
        <v>431471</v>
      </c>
      <c r="B1465" t="s">
        <v>27</v>
      </c>
      <c r="C1465" t="s">
        <v>8</v>
      </c>
      <c r="D1465" t="s">
        <v>28</v>
      </c>
      <c r="E1465">
        <v>599</v>
      </c>
      <c r="F1465">
        <v>14.07</v>
      </c>
      <c r="G1465" t="s">
        <v>29</v>
      </c>
      <c r="H1465" t="e">
        <f t="shared" si="44"/>
        <v>#VALUE!</v>
      </c>
      <c r="I1465" t="str">
        <f t="shared" si="45"/>
        <v>-</v>
      </c>
    </row>
    <row r="1466" spans="1:9" x14ac:dyDescent="0.2">
      <c r="A1466">
        <v>431683</v>
      </c>
      <c r="B1466" t="s">
        <v>30</v>
      </c>
      <c r="C1466" t="s">
        <v>8</v>
      </c>
      <c r="D1466" t="s">
        <v>31</v>
      </c>
      <c r="E1466">
        <v>3773</v>
      </c>
      <c r="F1466">
        <v>3773</v>
      </c>
      <c r="G1466" t="s">
        <v>15</v>
      </c>
      <c r="H1466" t="str">
        <f t="shared" si="44"/>
        <v>PSI</v>
      </c>
      <c r="I1466">
        <f t="shared" si="45"/>
        <v>54.722738445607931</v>
      </c>
    </row>
    <row r="1467" spans="1:9" x14ac:dyDescent="0.2">
      <c r="A1467">
        <v>431895</v>
      </c>
      <c r="B1467" t="s">
        <v>32</v>
      </c>
      <c r="C1467" t="s">
        <v>8</v>
      </c>
      <c r="D1467" t="s">
        <v>33</v>
      </c>
      <c r="E1467">
        <v>3730</v>
      </c>
      <c r="F1467">
        <v>0.91</v>
      </c>
      <c r="G1467" t="s">
        <v>26</v>
      </c>
      <c r="H1467" t="e">
        <f t="shared" si="44"/>
        <v>#VALUE!</v>
      </c>
      <c r="I1467" t="str">
        <f t="shared" si="45"/>
        <v>-</v>
      </c>
    </row>
    <row r="1468" spans="1:9" x14ac:dyDescent="0.2">
      <c r="A1468">
        <v>432098</v>
      </c>
      <c r="B1468" t="s">
        <v>34</v>
      </c>
      <c r="C1468" t="s">
        <v>8</v>
      </c>
      <c r="D1468" t="s">
        <v>35</v>
      </c>
      <c r="E1468">
        <v>4024</v>
      </c>
      <c r="F1468">
        <v>0.98</v>
      </c>
      <c r="G1468" t="s">
        <v>26</v>
      </c>
      <c r="H1468" t="e">
        <f t="shared" si="44"/>
        <v>#VALUE!</v>
      </c>
      <c r="I1468" t="str">
        <f t="shared" si="45"/>
        <v>-</v>
      </c>
    </row>
    <row r="1469" spans="1:9" x14ac:dyDescent="0.2">
      <c r="A1469">
        <v>432479</v>
      </c>
      <c r="B1469" t="s">
        <v>36</v>
      </c>
      <c r="C1469" t="s">
        <v>8</v>
      </c>
      <c r="D1469" t="s">
        <v>37</v>
      </c>
      <c r="E1469" t="s">
        <v>18</v>
      </c>
      <c r="F1469" t="s">
        <v>18</v>
      </c>
      <c r="G1469" t="s">
        <v>18</v>
      </c>
      <c r="H1469" t="e">
        <f t="shared" si="44"/>
        <v>#VALUE!</v>
      </c>
      <c r="I1469" t="str">
        <f t="shared" si="45"/>
        <v>-</v>
      </c>
    </row>
    <row r="1470" spans="1:9" x14ac:dyDescent="0.2">
      <c r="A1470">
        <v>432861</v>
      </c>
      <c r="B1470" t="s">
        <v>38</v>
      </c>
      <c r="C1470" t="s">
        <v>8</v>
      </c>
      <c r="D1470" t="s">
        <v>39</v>
      </c>
      <c r="E1470" t="s">
        <v>18</v>
      </c>
      <c r="F1470" t="s">
        <v>18</v>
      </c>
      <c r="G1470" t="s">
        <v>18</v>
      </c>
      <c r="H1470" t="e">
        <f t="shared" si="44"/>
        <v>#VALUE!</v>
      </c>
      <c r="I1470" t="str">
        <f t="shared" si="45"/>
        <v>-</v>
      </c>
    </row>
    <row r="1471" spans="1:9" x14ac:dyDescent="0.2">
      <c r="A1471">
        <v>433243</v>
      </c>
      <c r="B1471" t="s">
        <v>40</v>
      </c>
      <c r="C1471" t="s">
        <v>8</v>
      </c>
      <c r="D1471" t="s">
        <v>41</v>
      </c>
      <c r="E1471" t="s">
        <v>18</v>
      </c>
      <c r="F1471" t="s">
        <v>18</v>
      </c>
      <c r="G1471" t="s">
        <v>18</v>
      </c>
      <c r="H1471" t="e">
        <f t="shared" si="44"/>
        <v>#VALUE!</v>
      </c>
      <c r="I1471" t="str">
        <f t="shared" si="45"/>
        <v>-</v>
      </c>
    </row>
    <row r="1472" spans="1:9" x14ac:dyDescent="0.2">
      <c r="A1472">
        <v>433485</v>
      </c>
      <c r="B1472" t="s">
        <v>42</v>
      </c>
      <c r="C1472" t="s">
        <v>8</v>
      </c>
      <c r="D1472" t="s">
        <v>43</v>
      </c>
      <c r="E1472">
        <v>6541</v>
      </c>
      <c r="F1472">
        <v>3.27</v>
      </c>
      <c r="G1472" t="s">
        <v>44</v>
      </c>
      <c r="H1472" t="str">
        <f t="shared" si="44"/>
        <v>PSI</v>
      </c>
      <c r="I1472">
        <f t="shared" si="45"/>
        <v>474.27340237778412</v>
      </c>
    </row>
    <row r="1473" spans="1:9" x14ac:dyDescent="0.2">
      <c r="A1473">
        <v>433667</v>
      </c>
      <c r="B1473" t="s">
        <v>45</v>
      </c>
      <c r="C1473" t="s">
        <v>8</v>
      </c>
      <c r="D1473" t="s">
        <v>46</v>
      </c>
      <c r="E1473">
        <v>1</v>
      </c>
      <c r="F1473">
        <v>1</v>
      </c>
      <c r="G1473" t="s">
        <v>15</v>
      </c>
      <c r="H1473" t="str">
        <f t="shared" si="44"/>
        <v>PSI</v>
      </c>
      <c r="I1473">
        <f t="shared" si="45"/>
        <v>1.4503773773020921E-2</v>
      </c>
    </row>
    <row r="1474" spans="1:9" x14ac:dyDescent="0.2">
      <c r="A1474">
        <v>433889</v>
      </c>
      <c r="B1474" t="s">
        <v>47</v>
      </c>
      <c r="C1474" t="s">
        <v>8</v>
      </c>
      <c r="D1474" t="s">
        <v>48</v>
      </c>
      <c r="E1474">
        <v>3998</v>
      </c>
      <c r="F1474">
        <v>399.8</v>
      </c>
      <c r="G1474" t="s">
        <v>49</v>
      </c>
      <c r="H1474" t="e">
        <f t="shared" si="44"/>
        <v>#VALUE!</v>
      </c>
      <c r="I1474" t="str">
        <f t="shared" si="45"/>
        <v>-</v>
      </c>
    </row>
    <row r="1475" spans="1:9" x14ac:dyDescent="0.2">
      <c r="A1475">
        <v>434101</v>
      </c>
      <c r="B1475" t="s">
        <v>50</v>
      </c>
      <c r="C1475" t="s">
        <v>8</v>
      </c>
      <c r="D1475" t="s">
        <v>51</v>
      </c>
      <c r="E1475">
        <v>23751</v>
      </c>
      <c r="F1475">
        <v>927.77</v>
      </c>
      <c r="G1475" t="s">
        <v>15</v>
      </c>
      <c r="H1475" t="str">
        <f t="shared" ref="H1475:H1538" si="46">IF(FIND("Pa",G1475,1),"PSI","-")</f>
        <v>PSI</v>
      </c>
      <c r="I1475">
        <f t="shared" ref="I1475:I1538" si="47">IF(G1475="hPa",CONVERT(F1475*100,"Pa","psi"), IF(G1475="MPa",CONVERT(F1475*1000000,"Pa","psi"),"-"))</f>
        <v>13.456166193395619</v>
      </c>
    </row>
    <row r="1476" spans="1:9" x14ac:dyDescent="0.2">
      <c r="A1476">
        <v>434294</v>
      </c>
      <c r="B1476" t="s">
        <v>52</v>
      </c>
      <c r="C1476" t="s">
        <v>8</v>
      </c>
      <c r="D1476" t="s">
        <v>53</v>
      </c>
      <c r="E1476">
        <v>93</v>
      </c>
      <c r="F1476">
        <v>21.75</v>
      </c>
      <c r="G1476" t="s">
        <v>10</v>
      </c>
      <c r="H1476" t="e">
        <f t="shared" si="46"/>
        <v>#VALUE!</v>
      </c>
      <c r="I1476" t="str">
        <f t="shared" si="47"/>
        <v>-</v>
      </c>
    </row>
    <row r="1477" spans="1:9" x14ac:dyDescent="0.2">
      <c r="A1477">
        <v>434496</v>
      </c>
      <c r="B1477" t="s">
        <v>54</v>
      </c>
      <c r="C1477" t="s">
        <v>8</v>
      </c>
      <c r="D1477" t="s">
        <v>55</v>
      </c>
      <c r="E1477">
        <v>20</v>
      </c>
      <c r="F1477">
        <v>80</v>
      </c>
      <c r="G1477" t="s">
        <v>56</v>
      </c>
      <c r="H1477" t="e">
        <f t="shared" si="46"/>
        <v>#VALUE!</v>
      </c>
      <c r="I1477" t="str">
        <f t="shared" si="47"/>
        <v>-</v>
      </c>
    </row>
    <row r="1478" spans="1:9" x14ac:dyDescent="0.2">
      <c r="A1478">
        <v>434878</v>
      </c>
      <c r="B1478" t="s">
        <v>57</v>
      </c>
      <c r="C1478" t="s">
        <v>8</v>
      </c>
      <c r="D1478" t="s">
        <v>58</v>
      </c>
      <c r="E1478" t="s">
        <v>18</v>
      </c>
      <c r="F1478" t="s">
        <v>18</v>
      </c>
      <c r="G1478" t="s">
        <v>18</v>
      </c>
      <c r="H1478" t="e">
        <f t="shared" si="46"/>
        <v>#VALUE!</v>
      </c>
      <c r="I1478" t="str">
        <f t="shared" si="47"/>
        <v>-</v>
      </c>
    </row>
    <row r="1479" spans="1:9" x14ac:dyDescent="0.2">
      <c r="A1479">
        <v>435260</v>
      </c>
      <c r="B1479" t="s">
        <v>59</v>
      </c>
      <c r="C1479" t="s">
        <v>8</v>
      </c>
      <c r="D1479" t="s">
        <v>60</v>
      </c>
      <c r="E1479" t="s">
        <v>18</v>
      </c>
      <c r="F1479" t="s">
        <v>18</v>
      </c>
      <c r="G1479" t="s">
        <v>18</v>
      </c>
      <c r="H1479" t="e">
        <f t="shared" si="46"/>
        <v>#VALUE!</v>
      </c>
      <c r="I1479" t="str">
        <f t="shared" si="47"/>
        <v>-</v>
      </c>
    </row>
    <row r="1480" spans="1:9" x14ac:dyDescent="0.2">
      <c r="A1480">
        <v>435642</v>
      </c>
      <c r="B1480" t="s">
        <v>61</v>
      </c>
      <c r="C1480" t="s">
        <v>8</v>
      </c>
      <c r="D1480" t="s">
        <v>62</v>
      </c>
      <c r="E1480" t="s">
        <v>18</v>
      </c>
      <c r="F1480" t="s">
        <v>18</v>
      </c>
      <c r="G1480" t="s">
        <v>18</v>
      </c>
      <c r="H1480" t="e">
        <f t="shared" si="46"/>
        <v>#VALUE!</v>
      </c>
      <c r="I1480" t="str">
        <f t="shared" si="47"/>
        <v>-</v>
      </c>
    </row>
    <row r="1481" spans="1:9" x14ac:dyDescent="0.2">
      <c r="A1481">
        <v>436024</v>
      </c>
      <c r="B1481" t="s">
        <v>63</v>
      </c>
      <c r="C1481" t="s">
        <v>8</v>
      </c>
      <c r="D1481" t="s">
        <v>64</v>
      </c>
      <c r="E1481" t="s">
        <v>18</v>
      </c>
      <c r="F1481" t="s">
        <v>18</v>
      </c>
      <c r="G1481" t="s">
        <v>18</v>
      </c>
      <c r="H1481" t="e">
        <f t="shared" si="46"/>
        <v>#VALUE!</v>
      </c>
      <c r="I1481" t="str">
        <f t="shared" si="47"/>
        <v>-</v>
      </c>
    </row>
    <row r="1482" spans="1:9" x14ac:dyDescent="0.2">
      <c r="A1482">
        <v>436276</v>
      </c>
      <c r="B1482" t="s">
        <v>65</v>
      </c>
      <c r="C1482" t="s">
        <v>8</v>
      </c>
      <c r="D1482" t="s">
        <v>66</v>
      </c>
      <c r="E1482">
        <v>29310</v>
      </c>
      <c r="F1482">
        <v>3.58</v>
      </c>
      <c r="G1482" t="s">
        <v>67</v>
      </c>
      <c r="H1482" t="e">
        <f t="shared" si="46"/>
        <v>#VALUE!</v>
      </c>
      <c r="I1482" t="str">
        <f t="shared" si="47"/>
        <v>-</v>
      </c>
    </row>
    <row r="1483" spans="1:9" x14ac:dyDescent="0.2">
      <c r="A1483">
        <v>436658</v>
      </c>
      <c r="B1483" t="s">
        <v>68</v>
      </c>
      <c r="C1483" t="s">
        <v>8</v>
      </c>
      <c r="D1483" t="s">
        <v>69</v>
      </c>
      <c r="E1483" t="s">
        <v>18</v>
      </c>
      <c r="F1483" t="s">
        <v>18</v>
      </c>
      <c r="G1483" t="s">
        <v>18</v>
      </c>
      <c r="H1483" t="e">
        <f t="shared" si="46"/>
        <v>#VALUE!</v>
      </c>
      <c r="I1483" t="str">
        <f t="shared" si="47"/>
        <v>-</v>
      </c>
    </row>
    <row r="1484" spans="1:9" x14ac:dyDescent="0.2">
      <c r="A1484">
        <v>436860</v>
      </c>
      <c r="B1484" t="s">
        <v>7</v>
      </c>
      <c r="C1484" t="s">
        <v>8</v>
      </c>
      <c r="D1484" t="s">
        <v>9</v>
      </c>
      <c r="E1484">
        <v>165</v>
      </c>
      <c r="F1484">
        <v>105</v>
      </c>
      <c r="G1484" t="s">
        <v>10</v>
      </c>
      <c r="H1484" t="e">
        <f t="shared" si="46"/>
        <v>#VALUE!</v>
      </c>
      <c r="I1484" t="str">
        <f t="shared" si="47"/>
        <v>-</v>
      </c>
    </row>
    <row r="1485" spans="1:9" x14ac:dyDescent="0.2">
      <c r="A1485">
        <v>437052</v>
      </c>
      <c r="B1485" t="s">
        <v>11</v>
      </c>
      <c r="C1485" t="s">
        <v>8</v>
      </c>
      <c r="D1485" t="s">
        <v>12</v>
      </c>
      <c r="E1485">
        <v>204</v>
      </c>
      <c r="F1485">
        <v>105</v>
      </c>
      <c r="G1485" t="s">
        <v>10</v>
      </c>
      <c r="H1485" t="e">
        <f t="shared" si="46"/>
        <v>#VALUE!</v>
      </c>
      <c r="I1485" t="str">
        <f t="shared" si="47"/>
        <v>-</v>
      </c>
    </row>
    <row r="1486" spans="1:9" x14ac:dyDescent="0.2">
      <c r="A1486">
        <v>437274</v>
      </c>
      <c r="B1486" t="s">
        <v>13</v>
      </c>
      <c r="C1486" t="s">
        <v>8</v>
      </c>
      <c r="D1486" t="s">
        <v>14</v>
      </c>
      <c r="E1486">
        <v>25902</v>
      </c>
      <c r="F1486">
        <v>1011.8</v>
      </c>
      <c r="G1486" t="s">
        <v>15</v>
      </c>
      <c r="H1486" t="str">
        <f t="shared" si="46"/>
        <v>PSI</v>
      </c>
      <c r="I1486">
        <f t="shared" si="47"/>
        <v>14.674918303542567</v>
      </c>
    </row>
    <row r="1487" spans="1:9" x14ac:dyDescent="0.2">
      <c r="A1487">
        <v>437656</v>
      </c>
      <c r="B1487" t="s">
        <v>16</v>
      </c>
      <c r="C1487" t="s">
        <v>8</v>
      </c>
      <c r="D1487" t="s">
        <v>17</v>
      </c>
      <c r="E1487" t="s">
        <v>18</v>
      </c>
      <c r="F1487" t="s">
        <v>18</v>
      </c>
      <c r="G1487" t="s">
        <v>18</v>
      </c>
      <c r="H1487" t="e">
        <f t="shared" si="46"/>
        <v>#VALUE!</v>
      </c>
      <c r="I1487" t="str">
        <f t="shared" si="47"/>
        <v>-</v>
      </c>
    </row>
    <row r="1488" spans="1:9" x14ac:dyDescent="0.2">
      <c r="A1488">
        <v>437878</v>
      </c>
      <c r="B1488" t="s">
        <v>19</v>
      </c>
      <c r="C1488" t="s">
        <v>8</v>
      </c>
      <c r="D1488" t="s">
        <v>20</v>
      </c>
      <c r="E1488">
        <v>13405</v>
      </c>
      <c r="F1488">
        <v>1047.27</v>
      </c>
      <c r="G1488" t="s">
        <v>15</v>
      </c>
      <c r="H1488" t="str">
        <f t="shared" si="46"/>
        <v>PSI</v>
      </c>
      <c r="I1488">
        <f t="shared" si="47"/>
        <v>15.189367159271619</v>
      </c>
    </row>
    <row r="1489" spans="1:9" x14ac:dyDescent="0.2">
      <c r="A1489">
        <v>438101</v>
      </c>
      <c r="B1489" t="s">
        <v>21</v>
      </c>
      <c r="C1489" t="s">
        <v>8</v>
      </c>
      <c r="D1489" t="s">
        <v>22</v>
      </c>
      <c r="E1489">
        <v>7275</v>
      </c>
      <c r="F1489">
        <v>1818.75</v>
      </c>
      <c r="G1489" t="s">
        <v>23</v>
      </c>
      <c r="H1489" t="e">
        <f t="shared" si="46"/>
        <v>#VALUE!</v>
      </c>
      <c r="I1489" t="str">
        <f t="shared" si="47"/>
        <v>-</v>
      </c>
    </row>
    <row r="1490" spans="1:9" x14ac:dyDescent="0.2">
      <c r="A1490">
        <v>438293</v>
      </c>
      <c r="B1490" t="s">
        <v>24</v>
      </c>
      <c r="C1490" t="s">
        <v>8</v>
      </c>
      <c r="D1490" t="s">
        <v>25</v>
      </c>
      <c r="E1490">
        <v>3</v>
      </c>
      <c r="F1490">
        <v>3</v>
      </c>
      <c r="G1490" t="s">
        <v>26</v>
      </c>
      <c r="H1490" t="e">
        <f t="shared" si="46"/>
        <v>#VALUE!</v>
      </c>
      <c r="I1490" t="str">
        <f t="shared" si="47"/>
        <v>-</v>
      </c>
    </row>
    <row r="1491" spans="1:9" x14ac:dyDescent="0.2">
      <c r="A1491">
        <v>438515</v>
      </c>
      <c r="B1491" t="s">
        <v>27</v>
      </c>
      <c r="C1491" t="s">
        <v>8</v>
      </c>
      <c r="D1491" t="s">
        <v>28</v>
      </c>
      <c r="E1491">
        <v>605</v>
      </c>
      <c r="F1491">
        <v>14.21</v>
      </c>
      <c r="G1491" t="s">
        <v>29</v>
      </c>
      <c r="H1491" t="e">
        <f t="shared" si="46"/>
        <v>#VALUE!</v>
      </c>
      <c r="I1491" t="str">
        <f t="shared" si="47"/>
        <v>-</v>
      </c>
    </row>
    <row r="1492" spans="1:9" x14ac:dyDescent="0.2">
      <c r="A1492">
        <v>438717</v>
      </c>
      <c r="B1492" t="s">
        <v>30</v>
      </c>
      <c r="C1492" t="s">
        <v>8</v>
      </c>
      <c r="D1492" t="s">
        <v>31</v>
      </c>
      <c r="E1492">
        <v>2918</v>
      </c>
      <c r="F1492">
        <v>2918</v>
      </c>
      <c r="G1492" t="s">
        <v>15</v>
      </c>
      <c r="H1492" t="str">
        <f t="shared" si="46"/>
        <v>PSI</v>
      </c>
      <c r="I1492">
        <f t="shared" si="47"/>
        <v>42.322011869675045</v>
      </c>
    </row>
    <row r="1493" spans="1:9" x14ac:dyDescent="0.2">
      <c r="A1493">
        <v>438929</v>
      </c>
      <c r="B1493" t="s">
        <v>32</v>
      </c>
      <c r="C1493" t="s">
        <v>8</v>
      </c>
      <c r="D1493" t="s">
        <v>33</v>
      </c>
      <c r="E1493">
        <v>61681</v>
      </c>
      <c r="F1493">
        <v>15.06</v>
      </c>
      <c r="G1493" t="s">
        <v>26</v>
      </c>
      <c r="H1493" t="e">
        <f t="shared" si="46"/>
        <v>#VALUE!</v>
      </c>
      <c r="I1493" t="str">
        <f t="shared" si="47"/>
        <v>-</v>
      </c>
    </row>
    <row r="1494" spans="1:9" x14ac:dyDescent="0.2">
      <c r="A1494">
        <v>439143</v>
      </c>
      <c r="B1494" t="s">
        <v>34</v>
      </c>
      <c r="C1494" t="s">
        <v>8</v>
      </c>
      <c r="D1494" t="s">
        <v>35</v>
      </c>
      <c r="E1494">
        <v>65299</v>
      </c>
      <c r="F1494">
        <v>15.94</v>
      </c>
      <c r="G1494" t="s">
        <v>26</v>
      </c>
      <c r="H1494" t="e">
        <f t="shared" si="46"/>
        <v>#VALUE!</v>
      </c>
      <c r="I1494" t="str">
        <f t="shared" si="47"/>
        <v>-</v>
      </c>
    </row>
    <row r="1495" spans="1:9" x14ac:dyDescent="0.2">
      <c r="A1495">
        <v>439525</v>
      </c>
      <c r="B1495" t="s">
        <v>36</v>
      </c>
      <c r="C1495" t="s">
        <v>8</v>
      </c>
      <c r="D1495" t="s">
        <v>37</v>
      </c>
      <c r="E1495" t="s">
        <v>18</v>
      </c>
      <c r="F1495" t="s">
        <v>18</v>
      </c>
      <c r="G1495" t="s">
        <v>18</v>
      </c>
      <c r="H1495" t="e">
        <f t="shared" si="46"/>
        <v>#VALUE!</v>
      </c>
      <c r="I1495" t="str">
        <f t="shared" si="47"/>
        <v>-</v>
      </c>
    </row>
    <row r="1496" spans="1:9" x14ac:dyDescent="0.2">
      <c r="A1496">
        <v>439907</v>
      </c>
      <c r="B1496" t="s">
        <v>38</v>
      </c>
      <c r="C1496" t="s">
        <v>8</v>
      </c>
      <c r="D1496" t="s">
        <v>39</v>
      </c>
      <c r="E1496" t="s">
        <v>18</v>
      </c>
      <c r="F1496" t="s">
        <v>18</v>
      </c>
      <c r="G1496" t="s">
        <v>18</v>
      </c>
      <c r="H1496" t="e">
        <f t="shared" si="46"/>
        <v>#VALUE!</v>
      </c>
      <c r="I1496" t="str">
        <f t="shared" si="47"/>
        <v>-</v>
      </c>
    </row>
    <row r="1497" spans="1:9" x14ac:dyDescent="0.2">
      <c r="A1497">
        <v>440289</v>
      </c>
      <c r="B1497" t="s">
        <v>40</v>
      </c>
      <c r="C1497" t="s">
        <v>8</v>
      </c>
      <c r="D1497" t="s">
        <v>41</v>
      </c>
      <c r="E1497" t="s">
        <v>18</v>
      </c>
      <c r="F1497" t="s">
        <v>18</v>
      </c>
      <c r="G1497" t="s">
        <v>18</v>
      </c>
      <c r="H1497" t="e">
        <f t="shared" si="46"/>
        <v>#VALUE!</v>
      </c>
      <c r="I1497" t="str">
        <f t="shared" si="47"/>
        <v>-</v>
      </c>
    </row>
    <row r="1498" spans="1:9" x14ac:dyDescent="0.2">
      <c r="A1498">
        <v>440501</v>
      </c>
      <c r="B1498" t="s">
        <v>42</v>
      </c>
      <c r="C1498" t="s">
        <v>8</v>
      </c>
      <c r="D1498" t="s">
        <v>43</v>
      </c>
      <c r="E1498">
        <v>9955</v>
      </c>
      <c r="F1498">
        <v>4.9800000000000004</v>
      </c>
      <c r="G1498" t="s">
        <v>44</v>
      </c>
      <c r="H1498" t="str">
        <f t="shared" si="46"/>
        <v>PSI</v>
      </c>
      <c r="I1498">
        <f t="shared" si="47"/>
        <v>722.28793389644181</v>
      </c>
    </row>
    <row r="1499" spans="1:9" x14ac:dyDescent="0.2">
      <c r="A1499">
        <v>440693</v>
      </c>
      <c r="B1499" t="s">
        <v>45</v>
      </c>
      <c r="C1499" t="s">
        <v>8</v>
      </c>
      <c r="D1499" t="s">
        <v>46</v>
      </c>
      <c r="E1499">
        <v>1</v>
      </c>
      <c r="F1499">
        <v>1</v>
      </c>
      <c r="G1499" t="s">
        <v>15</v>
      </c>
      <c r="H1499" t="str">
        <f t="shared" si="46"/>
        <v>PSI</v>
      </c>
      <c r="I1499">
        <f t="shared" si="47"/>
        <v>1.4503773773020921E-2</v>
      </c>
    </row>
    <row r="1500" spans="1:9" x14ac:dyDescent="0.2">
      <c r="A1500">
        <v>440905</v>
      </c>
      <c r="B1500" t="s">
        <v>47</v>
      </c>
      <c r="C1500" t="s">
        <v>8</v>
      </c>
      <c r="D1500" t="s">
        <v>48</v>
      </c>
      <c r="E1500">
        <v>4068</v>
      </c>
      <c r="F1500">
        <v>406.8</v>
      </c>
      <c r="G1500" t="s">
        <v>49</v>
      </c>
      <c r="H1500" t="e">
        <f t="shared" si="46"/>
        <v>#VALUE!</v>
      </c>
      <c r="I1500" t="str">
        <f t="shared" si="47"/>
        <v>-</v>
      </c>
    </row>
    <row r="1501" spans="1:9" x14ac:dyDescent="0.2">
      <c r="A1501">
        <v>441117</v>
      </c>
      <c r="B1501" t="s">
        <v>50</v>
      </c>
      <c r="C1501" t="s">
        <v>8</v>
      </c>
      <c r="D1501" t="s">
        <v>51</v>
      </c>
      <c r="E1501">
        <v>24029</v>
      </c>
      <c r="F1501">
        <v>938.63</v>
      </c>
      <c r="G1501" t="s">
        <v>15</v>
      </c>
      <c r="H1501" t="str">
        <f t="shared" si="46"/>
        <v>PSI</v>
      </c>
      <c r="I1501">
        <f t="shared" si="47"/>
        <v>13.613677176570627</v>
      </c>
    </row>
    <row r="1502" spans="1:9" x14ac:dyDescent="0.2">
      <c r="A1502">
        <v>441309</v>
      </c>
      <c r="B1502" t="s">
        <v>52</v>
      </c>
      <c r="C1502" t="s">
        <v>8</v>
      </c>
      <c r="D1502" t="s">
        <v>53</v>
      </c>
      <c r="E1502">
        <v>93</v>
      </c>
      <c r="F1502">
        <v>21.75</v>
      </c>
      <c r="G1502" t="s">
        <v>10</v>
      </c>
      <c r="H1502" t="e">
        <f t="shared" si="46"/>
        <v>#VALUE!</v>
      </c>
      <c r="I1502" t="str">
        <f t="shared" si="47"/>
        <v>-</v>
      </c>
    </row>
    <row r="1503" spans="1:9" x14ac:dyDescent="0.2">
      <c r="A1503">
        <v>441501</v>
      </c>
      <c r="B1503" t="s">
        <v>54</v>
      </c>
      <c r="C1503" t="s">
        <v>8</v>
      </c>
      <c r="D1503" t="s">
        <v>55</v>
      </c>
      <c r="E1503">
        <v>3</v>
      </c>
      <c r="F1503">
        <v>12</v>
      </c>
      <c r="G1503" t="s">
        <v>56</v>
      </c>
      <c r="H1503" t="e">
        <f t="shared" si="46"/>
        <v>#VALUE!</v>
      </c>
      <c r="I1503" t="str">
        <f t="shared" si="47"/>
        <v>-</v>
      </c>
    </row>
    <row r="1504" spans="1:9" x14ac:dyDescent="0.2">
      <c r="A1504">
        <v>441883</v>
      </c>
      <c r="B1504" t="s">
        <v>57</v>
      </c>
      <c r="C1504" t="s">
        <v>8</v>
      </c>
      <c r="D1504" t="s">
        <v>58</v>
      </c>
      <c r="E1504" t="s">
        <v>18</v>
      </c>
      <c r="F1504" t="s">
        <v>18</v>
      </c>
      <c r="G1504" t="s">
        <v>18</v>
      </c>
      <c r="H1504" t="e">
        <f t="shared" si="46"/>
        <v>#VALUE!</v>
      </c>
      <c r="I1504" t="str">
        <f t="shared" si="47"/>
        <v>-</v>
      </c>
    </row>
    <row r="1505" spans="1:9" x14ac:dyDescent="0.2">
      <c r="A1505">
        <v>442255</v>
      </c>
      <c r="B1505" t="s">
        <v>59</v>
      </c>
      <c r="C1505" t="s">
        <v>8</v>
      </c>
      <c r="D1505" t="s">
        <v>60</v>
      </c>
      <c r="E1505" t="s">
        <v>18</v>
      </c>
      <c r="F1505" t="s">
        <v>18</v>
      </c>
      <c r="G1505" t="s">
        <v>18</v>
      </c>
      <c r="H1505" t="e">
        <f t="shared" si="46"/>
        <v>#VALUE!</v>
      </c>
      <c r="I1505" t="str">
        <f t="shared" si="47"/>
        <v>-</v>
      </c>
    </row>
    <row r="1506" spans="1:9" x14ac:dyDescent="0.2">
      <c r="A1506">
        <v>442637</v>
      </c>
      <c r="B1506" t="s">
        <v>61</v>
      </c>
      <c r="C1506" t="s">
        <v>8</v>
      </c>
      <c r="D1506" t="s">
        <v>62</v>
      </c>
      <c r="E1506" t="s">
        <v>18</v>
      </c>
      <c r="F1506" t="s">
        <v>18</v>
      </c>
      <c r="G1506" t="s">
        <v>18</v>
      </c>
      <c r="H1506" t="e">
        <f t="shared" si="46"/>
        <v>#VALUE!</v>
      </c>
      <c r="I1506" t="str">
        <f t="shared" si="47"/>
        <v>-</v>
      </c>
    </row>
    <row r="1507" spans="1:9" x14ac:dyDescent="0.2">
      <c r="A1507">
        <v>443039</v>
      </c>
      <c r="B1507" t="s">
        <v>63</v>
      </c>
      <c r="C1507" t="s">
        <v>8</v>
      </c>
      <c r="D1507" t="s">
        <v>64</v>
      </c>
      <c r="E1507" t="s">
        <v>18</v>
      </c>
      <c r="F1507" t="s">
        <v>18</v>
      </c>
      <c r="G1507" t="s">
        <v>18</v>
      </c>
      <c r="H1507" t="e">
        <f t="shared" si="46"/>
        <v>#VALUE!</v>
      </c>
      <c r="I1507" t="str">
        <f t="shared" si="47"/>
        <v>-</v>
      </c>
    </row>
    <row r="1508" spans="1:9" x14ac:dyDescent="0.2">
      <c r="A1508">
        <v>443291</v>
      </c>
      <c r="B1508" t="s">
        <v>65</v>
      </c>
      <c r="C1508" t="s">
        <v>8</v>
      </c>
      <c r="D1508" t="s">
        <v>66</v>
      </c>
      <c r="E1508">
        <v>29327</v>
      </c>
      <c r="F1508">
        <v>3.58</v>
      </c>
      <c r="G1508" t="s">
        <v>67</v>
      </c>
      <c r="H1508" t="e">
        <f t="shared" si="46"/>
        <v>#VALUE!</v>
      </c>
      <c r="I1508" t="str">
        <f t="shared" si="47"/>
        <v>-</v>
      </c>
    </row>
    <row r="1509" spans="1:9" x14ac:dyDescent="0.2">
      <c r="A1509">
        <v>443673</v>
      </c>
      <c r="B1509" t="s">
        <v>68</v>
      </c>
      <c r="C1509" t="s">
        <v>8</v>
      </c>
      <c r="D1509" t="s">
        <v>69</v>
      </c>
      <c r="E1509" t="s">
        <v>18</v>
      </c>
      <c r="F1509" t="s">
        <v>18</v>
      </c>
      <c r="G1509" t="s">
        <v>18</v>
      </c>
      <c r="H1509" t="e">
        <f t="shared" si="46"/>
        <v>#VALUE!</v>
      </c>
      <c r="I1509" t="str">
        <f t="shared" si="47"/>
        <v>-</v>
      </c>
    </row>
    <row r="1510" spans="1:9" x14ac:dyDescent="0.2">
      <c r="A1510">
        <v>443875</v>
      </c>
      <c r="B1510" t="s">
        <v>7</v>
      </c>
      <c r="C1510" t="s">
        <v>8</v>
      </c>
      <c r="D1510" t="s">
        <v>9</v>
      </c>
      <c r="E1510">
        <v>165</v>
      </c>
      <c r="F1510">
        <v>105</v>
      </c>
      <c r="G1510" t="s">
        <v>10</v>
      </c>
      <c r="H1510" t="e">
        <f t="shared" si="46"/>
        <v>#VALUE!</v>
      </c>
      <c r="I1510" t="str">
        <f t="shared" si="47"/>
        <v>-</v>
      </c>
    </row>
    <row r="1511" spans="1:9" x14ac:dyDescent="0.2">
      <c r="A1511">
        <v>444057</v>
      </c>
      <c r="B1511" t="s">
        <v>11</v>
      </c>
      <c r="C1511" t="s">
        <v>8</v>
      </c>
      <c r="D1511" t="s">
        <v>12</v>
      </c>
      <c r="E1511">
        <v>203</v>
      </c>
      <c r="F1511">
        <v>104.25</v>
      </c>
      <c r="G1511" t="s">
        <v>10</v>
      </c>
      <c r="H1511" t="e">
        <f t="shared" si="46"/>
        <v>#VALUE!</v>
      </c>
      <c r="I1511" t="str">
        <f t="shared" si="47"/>
        <v>-</v>
      </c>
    </row>
    <row r="1512" spans="1:9" x14ac:dyDescent="0.2">
      <c r="A1512">
        <v>444269</v>
      </c>
      <c r="B1512" t="s">
        <v>13</v>
      </c>
      <c r="C1512" t="s">
        <v>8</v>
      </c>
      <c r="D1512" t="s">
        <v>14</v>
      </c>
      <c r="E1512">
        <v>25902</v>
      </c>
      <c r="F1512">
        <v>1011.8</v>
      </c>
      <c r="G1512" t="s">
        <v>15</v>
      </c>
      <c r="H1512" t="str">
        <f t="shared" si="46"/>
        <v>PSI</v>
      </c>
      <c r="I1512">
        <f t="shared" si="47"/>
        <v>14.674918303542567</v>
      </c>
    </row>
    <row r="1513" spans="1:9" x14ac:dyDescent="0.2">
      <c r="A1513">
        <v>444651</v>
      </c>
      <c r="B1513" t="s">
        <v>16</v>
      </c>
      <c r="C1513" t="s">
        <v>8</v>
      </c>
      <c r="D1513" t="s">
        <v>17</v>
      </c>
      <c r="E1513" t="s">
        <v>18</v>
      </c>
      <c r="F1513" t="s">
        <v>18</v>
      </c>
      <c r="G1513" t="s">
        <v>18</v>
      </c>
      <c r="H1513" t="e">
        <f t="shared" si="46"/>
        <v>#VALUE!</v>
      </c>
      <c r="I1513" t="str">
        <f t="shared" si="47"/>
        <v>-</v>
      </c>
    </row>
    <row r="1514" spans="1:9" x14ac:dyDescent="0.2">
      <c r="A1514">
        <v>444863</v>
      </c>
      <c r="B1514" t="s">
        <v>19</v>
      </c>
      <c r="C1514" t="s">
        <v>8</v>
      </c>
      <c r="D1514" t="s">
        <v>20</v>
      </c>
      <c r="E1514">
        <v>13204</v>
      </c>
      <c r="F1514">
        <v>1031.56</v>
      </c>
      <c r="G1514" t="s">
        <v>15</v>
      </c>
      <c r="H1514" t="str">
        <f t="shared" si="46"/>
        <v>PSI</v>
      </c>
      <c r="I1514">
        <f t="shared" si="47"/>
        <v>14.961512873297462</v>
      </c>
    </row>
    <row r="1515" spans="1:9" x14ac:dyDescent="0.2">
      <c r="A1515">
        <v>445075</v>
      </c>
      <c r="B1515" t="s">
        <v>21</v>
      </c>
      <c r="C1515" t="s">
        <v>8</v>
      </c>
      <c r="D1515" t="s">
        <v>22</v>
      </c>
      <c r="E1515">
        <v>6191</v>
      </c>
      <c r="F1515">
        <v>1547.75</v>
      </c>
      <c r="G1515" t="s">
        <v>23</v>
      </c>
      <c r="H1515" t="e">
        <f t="shared" si="46"/>
        <v>#VALUE!</v>
      </c>
      <c r="I1515" t="str">
        <f t="shared" si="47"/>
        <v>-</v>
      </c>
    </row>
    <row r="1516" spans="1:9" x14ac:dyDescent="0.2">
      <c r="A1516">
        <v>445257</v>
      </c>
      <c r="B1516" t="s">
        <v>24</v>
      </c>
      <c r="C1516" t="s">
        <v>8</v>
      </c>
      <c r="D1516" t="s">
        <v>25</v>
      </c>
      <c r="E1516">
        <v>3</v>
      </c>
      <c r="F1516">
        <v>3</v>
      </c>
      <c r="G1516" t="s">
        <v>26</v>
      </c>
      <c r="H1516" t="e">
        <f t="shared" si="46"/>
        <v>#VALUE!</v>
      </c>
      <c r="I1516" t="str">
        <f t="shared" si="47"/>
        <v>-</v>
      </c>
    </row>
    <row r="1517" spans="1:9" x14ac:dyDescent="0.2">
      <c r="A1517">
        <v>445469</v>
      </c>
      <c r="B1517" t="s">
        <v>27</v>
      </c>
      <c r="C1517" t="s">
        <v>8</v>
      </c>
      <c r="D1517" t="s">
        <v>28</v>
      </c>
      <c r="E1517">
        <v>604</v>
      </c>
      <c r="F1517">
        <v>14.18</v>
      </c>
      <c r="G1517" t="s">
        <v>29</v>
      </c>
      <c r="H1517" t="e">
        <f t="shared" si="46"/>
        <v>#VALUE!</v>
      </c>
      <c r="I1517" t="str">
        <f t="shared" si="47"/>
        <v>-</v>
      </c>
    </row>
    <row r="1518" spans="1:9" x14ac:dyDescent="0.2">
      <c r="A1518">
        <v>445681</v>
      </c>
      <c r="B1518" t="s">
        <v>30</v>
      </c>
      <c r="C1518" t="s">
        <v>8</v>
      </c>
      <c r="D1518" t="s">
        <v>31</v>
      </c>
      <c r="E1518">
        <v>3520</v>
      </c>
      <c r="F1518">
        <v>3520</v>
      </c>
      <c r="G1518" t="s">
        <v>15</v>
      </c>
      <c r="H1518" t="str">
        <f t="shared" si="46"/>
        <v>PSI</v>
      </c>
      <c r="I1518">
        <f t="shared" si="47"/>
        <v>51.053283681033641</v>
      </c>
    </row>
    <row r="1519" spans="1:9" x14ac:dyDescent="0.2">
      <c r="A1519">
        <v>445893</v>
      </c>
      <c r="B1519" t="s">
        <v>32</v>
      </c>
      <c r="C1519" t="s">
        <v>8</v>
      </c>
      <c r="D1519" t="s">
        <v>33</v>
      </c>
      <c r="E1519">
        <v>3693</v>
      </c>
      <c r="F1519">
        <v>0.9</v>
      </c>
      <c r="G1519" t="s">
        <v>26</v>
      </c>
      <c r="H1519" t="e">
        <f t="shared" si="46"/>
        <v>#VALUE!</v>
      </c>
      <c r="I1519" t="str">
        <f t="shared" si="47"/>
        <v>-</v>
      </c>
    </row>
    <row r="1520" spans="1:9" x14ac:dyDescent="0.2">
      <c r="A1520">
        <v>446105</v>
      </c>
      <c r="B1520" t="s">
        <v>34</v>
      </c>
      <c r="C1520" t="s">
        <v>8</v>
      </c>
      <c r="D1520" t="s">
        <v>35</v>
      </c>
      <c r="E1520">
        <v>3741</v>
      </c>
      <c r="F1520">
        <v>0.91</v>
      </c>
      <c r="G1520" t="s">
        <v>26</v>
      </c>
      <c r="H1520" t="e">
        <f t="shared" si="46"/>
        <v>#VALUE!</v>
      </c>
      <c r="I1520" t="str">
        <f t="shared" si="47"/>
        <v>-</v>
      </c>
    </row>
    <row r="1521" spans="1:9" x14ac:dyDescent="0.2">
      <c r="A1521">
        <v>446487</v>
      </c>
      <c r="B1521" t="s">
        <v>36</v>
      </c>
      <c r="C1521" t="s">
        <v>8</v>
      </c>
      <c r="D1521" t="s">
        <v>37</v>
      </c>
      <c r="E1521" t="s">
        <v>18</v>
      </c>
      <c r="F1521" t="s">
        <v>18</v>
      </c>
      <c r="G1521" t="s">
        <v>18</v>
      </c>
      <c r="H1521" t="e">
        <f t="shared" si="46"/>
        <v>#VALUE!</v>
      </c>
      <c r="I1521" t="str">
        <f t="shared" si="47"/>
        <v>-</v>
      </c>
    </row>
    <row r="1522" spans="1:9" x14ac:dyDescent="0.2">
      <c r="A1522">
        <v>446869</v>
      </c>
      <c r="B1522" t="s">
        <v>38</v>
      </c>
      <c r="C1522" t="s">
        <v>8</v>
      </c>
      <c r="D1522" t="s">
        <v>39</v>
      </c>
      <c r="E1522" t="s">
        <v>18</v>
      </c>
      <c r="F1522" t="s">
        <v>18</v>
      </c>
      <c r="G1522" t="s">
        <v>18</v>
      </c>
      <c r="H1522" t="e">
        <f t="shared" si="46"/>
        <v>#VALUE!</v>
      </c>
      <c r="I1522" t="str">
        <f t="shared" si="47"/>
        <v>-</v>
      </c>
    </row>
    <row r="1523" spans="1:9" x14ac:dyDescent="0.2">
      <c r="A1523">
        <v>447241</v>
      </c>
      <c r="B1523" t="s">
        <v>40</v>
      </c>
      <c r="C1523" t="s">
        <v>8</v>
      </c>
      <c r="D1523" t="s">
        <v>41</v>
      </c>
      <c r="E1523" t="s">
        <v>18</v>
      </c>
      <c r="F1523" t="s">
        <v>18</v>
      </c>
      <c r="G1523" t="s">
        <v>18</v>
      </c>
      <c r="H1523" t="e">
        <f t="shared" si="46"/>
        <v>#VALUE!</v>
      </c>
      <c r="I1523" t="str">
        <f t="shared" si="47"/>
        <v>-</v>
      </c>
    </row>
    <row r="1524" spans="1:9" x14ac:dyDescent="0.2">
      <c r="A1524">
        <v>447453</v>
      </c>
      <c r="B1524" t="s">
        <v>42</v>
      </c>
      <c r="C1524" t="s">
        <v>8</v>
      </c>
      <c r="D1524" t="s">
        <v>43</v>
      </c>
      <c r="E1524">
        <v>12774</v>
      </c>
      <c r="F1524">
        <v>6.39</v>
      </c>
      <c r="G1524" t="s">
        <v>44</v>
      </c>
      <c r="H1524" t="str">
        <f t="shared" si="46"/>
        <v>PSI</v>
      </c>
      <c r="I1524">
        <f t="shared" si="47"/>
        <v>926.79114409603687</v>
      </c>
    </row>
    <row r="1525" spans="1:9" x14ac:dyDescent="0.2">
      <c r="A1525">
        <v>447645</v>
      </c>
      <c r="B1525" t="s">
        <v>45</v>
      </c>
      <c r="C1525" t="s">
        <v>8</v>
      </c>
      <c r="D1525" t="s">
        <v>46</v>
      </c>
      <c r="E1525">
        <v>1</v>
      </c>
      <c r="F1525">
        <v>1</v>
      </c>
      <c r="G1525" t="s">
        <v>15</v>
      </c>
      <c r="H1525" t="str">
        <f t="shared" si="46"/>
        <v>PSI</v>
      </c>
      <c r="I1525">
        <f t="shared" si="47"/>
        <v>1.4503773773020921E-2</v>
      </c>
    </row>
    <row r="1526" spans="1:9" x14ac:dyDescent="0.2">
      <c r="A1526">
        <v>447857</v>
      </c>
      <c r="B1526" t="s">
        <v>47</v>
      </c>
      <c r="C1526" t="s">
        <v>8</v>
      </c>
      <c r="D1526" t="s">
        <v>48</v>
      </c>
      <c r="E1526">
        <v>4138</v>
      </c>
      <c r="F1526">
        <v>413.8</v>
      </c>
      <c r="G1526" t="s">
        <v>49</v>
      </c>
      <c r="H1526" t="e">
        <f t="shared" si="46"/>
        <v>#VALUE!</v>
      </c>
      <c r="I1526" t="str">
        <f t="shared" si="47"/>
        <v>-</v>
      </c>
    </row>
    <row r="1527" spans="1:9" x14ac:dyDescent="0.2">
      <c r="A1527">
        <v>448069</v>
      </c>
      <c r="B1527" t="s">
        <v>50</v>
      </c>
      <c r="C1527" t="s">
        <v>8</v>
      </c>
      <c r="D1527" t="s">
        <v>51</v>
      </c>
      <c r="E1527">
        <v>24804</v>
      </c>
      <c r="F1527">
        <v>968.91</v>
      </c>
      <c r="G1527" t="s">
        <v>15</v>
      </c>
      <c r="H1527" t="str">
        <f t="shared" si="46"/>
        <v>PSI</v>
      </c>
      <c r="I1527">
        <f t="shared" si="47"/>
        <v>14.0528514464177</v>
      </c>
    </row>
    <row r="1528" spans="1:9" x14ac:dyDescent="0.2">
      <c r="A1528">
        <v>448261</v>
      </c>
      <c r="B1528" t="s">
        <v>52</v>
      </c>
      <c r="C1528" t="s">
        <v>8</v>
      </c>
      <c r="D1528" t="s">
        <v>53</v>
      </c>
      <c r="E1528">
        <v>92</v>
      </c>
      <c r="F1528">
        <v>21</v>
      </c>
      <c r="G1528" t="s">
        <v>10</v>
      </c>
      <c r="H1528" t="e">
        <f t="shared" si="46"/>
        <v>#VALUE!</v>
      </c>
      <c r="I1528" t="str">
        <f t="shared" si="47"/>
        <v>-</v>
      </c>
    </row>
    <row r="1529" spans="1:9" x14ac:dyDescent="0.2">
      <c r="A1529">
        <v>448453</v>
      </c>
      <c r="B1529" t="s">
        <v>54</v>
      </c>
      <c r="C1529" t="s">
        <v>8</v>
      </c>
      <c r="D1529" t="s">
        <v>55</v>
      </c>
      <c r="E1529">
        <v>5</v>
      </c>
      <c r="F1529">
        <v>20</v>
      </c>
      <c r="G1529" t="s">
        <v>56</v>
      </c>
      <c r="H1529" t="e">
        <f t="shared" si="46"/>
        <v>#VALUE!</v>
      </c>
      <c r="I1529" t="str">
        <f t="shared" si="47"/>
        <v>-</v>
      </c>
    </row>
    <row r="1530" spans="1:9" x14ac:dyDescent="0.2">
      <c r="A1530">
        <v>448835</v>
      </c>
      <c r="B1530" t="s">
        <v>57</v>
      </c>
      <c r="C1530" t="s">
        <v>8</v>
      </c>
      <c r="D1530" t="s">
        <v>58</v>
      </c>
      <c r="E1530" t="s">
        <v>18</v>
      </c>
      <c r="F1530" t="s">
        <v>18</v>
      </c>
      <c r="G1530" t="s">
        <v>18</v>
      </c>
      <c r="H1530" t="e">
        <f t="shared" si="46"/>
        <v>#VALUE!</v>
      </c>
      <c r="I1530" t="str">
        <f t="shared" si="47"/>
        <v>-</v>
      </c>
    </row>
    <row r="1531" spans="1:9" x14ac:dyDescent="0.2">
      <c r="A1531">
        <v>449216</v>
      </c>
      <c r="B1531" t="s">
        <v>59</v>
      </c>
      <c r="C1531" t="s">
        <v>8</v>
      </c>
      <c r="D1531" t="s">
        <v>60</v>
      </c>
      <c r="E1531" t="s">
        <v>18</v>
      </c>
      <c r="F1531" t="s">
        <v>18</v>
      </c>
      <c r="G1531" t="s">
        <v>18</v>
      </c>
      <c r="H1531" t="e">
        <f t="shared" si="46"/>
        <v>#VALUE!</v>
      </c>
      <c r="I1531" t="str">
        <f t="shared" si="47"/>
        <v>-</v>
      </c>
    </row>
    <row r="1532" spans="1:9" x14ac:dyDescent="0.2">
      <c r="A1532">
        <v>449598</v>
      </c>
      <c r="B1532" t="s">
        <v>61</v>
      </c>
      <c r="C1532" t="s">
        <v>8</v>
      </c>
      <c r="D1532" t="s">
        <v>62</v>
      </c>
      <c r="E1532" t="s">
        <v>18</v>
      </c>
      <c r="F1532" t="s">
        <v>18</v>
      </c>
      <c r="G1532" t="s">
        <v>18</v>
      </c>
      <c r="H1532" t="e">
        <f t="shared" si="46"/>
        <v>#VALUE!</v>
      </c>
      <c r="I1532" t="str">
        <f t="shared" si="47"/>
        <v>-</v>
      </c>
    </row>
    <row r="1533" spans="1:9" x14ac:dyDescent="0.2">
      <c r="A1533">
        <v>449980</v>
      </c>
      <c r="B1533" t="s">
        <v>63</v>
      </c>
      <c r="C1533" t="s">
        <v>8</v>
      </c>
      <c r="D1533" t="s">
        <v>64</v>
      </c>
      <c r="E1533" t="s">
        <v>18</v>
      </c>
      <c r="F1533" t="s">
        <v>18</v>
      </c>
      <c r="G1533" t="s">
        <v>18</v>
      </c>
      <c r="H1533" t="e">
        <f t="shared" si="46"/>
        <v>#VALUE!</v>
      </c>
      <c r="I1533" t="str">
        <f t="shared" si="47"/>
        <v>-</v>
      </c>
    </row>
    <row r="1534" spans="1:9" x14ac:dyDescent="0.2">
      <c r="A1534">
        <v>450232</v>
      </c>
      <c r="B1534" t="s">
        <v>65</v>
      </c>
      <c r="C1534" t="s">
        <v>8</v>
      </c>
      <c r="D1534" t="s">
        <v>66</v>
      </c>
      <c r="E1534">
        <v>29380</v>
      </c>
      <c r="F1534">
        <v>3.59</v>
      </c>
      <c r="G1534" t="s">
        <v>67</v>
      </c>
      <c r="H1534" t="e">
        <f t="shared" si="46"/>
        <v>#VALUE!</v>
      </c>
      <c r="I1534" t="str">
        <f t="shared" si="47"/>
        <v>-</v>
      </c>
    </row>
    <row r="1535" spans="1:9" x14ac:dyDescent="0.2">
      <c r="A1535">
        <v>450615</v>
      </c>
      <c r="B1535" t="s">
        <v>68</v>
      </c>
      <c r="C1535" t="s">
        <v>8</v>
      </c>
      <c r="D1535" t="s">
        <v>69</v>
      </c>
      <c r="E1535" t="s">
        <v>18</v>
      </c>
      <c r="F1535" t="s">
        <v>18</v>
      </c>
      <c r="G1535" t="s">
        <v>18</v>
      </c>
      <c r="H1535" t="e">
        <f t="shared" si="46"/>
        <v>#VALUE!</v>
      </c>
      <c r="I1535" t="str">
        <f t="shared" si="47"/>
        <v>-</v>
      </c>
    </row>
    <row r="1536" spans="1:9" x14ac:dyDescent="0.2">
      <c r="A1536">
        <v>450807</v>
      </c>
      <c r="B1536" t="s">
        <v>7</v>
      </c>
      <c r="C1536" t="s">
        <v>8</v>
      </c>
      <c r="D1536" t="s">
        <v>9</v>
      </c>
      <c r="E1536">
        <v>165</v>
      </c>
      <c r="F1536">
        <v>105</v>
      </c>
      <c r="G1536" t="s">
        <v>10</v>
      </c>
      <c r="H1536" t="e">
        <f t="shared" si="46"/>
        <v>#VALUE!</v>
      </c>
      <c r="I1536" t="str">
        <f t="shared" si="47"/>
        <v>-</v>
      </c>
    </row>
    <row r="1537" spans="1:9" x14ac:dyDescent="0.2">
      <c r="A1537">
        <v>451000</v>
      </c>
      <c r="B1537" t="s">
        <v>11</v>
      </c>
      <c r="C1537" t="s">
        <v>8</v>
      </c>
      <c r="D1537" t="s">
        <v>12</v>
      </c>
      <c r="E1537">
        <v>202</v>
      </c>
      <c r="F1537">
        <v>103.5</v>
      </c>
      <c r="G1537" t="s">
        <v>10</v>
      </c>
      <c r="H1537" t="e">
        <f t="shared" si="46"/>
        <v>#VALUE!</v>
      </c>
      <c r="I1537" t="str">
        <f t="shared" si="47"/>
        <v>-</v>
      </c>
    </row>
    <row r="1538" spans="1:9" x14ac:dyDescent="0.2">
      <c r="A1538">
        <v>451212</v>
      </c>
      <c r="B1538" t="s">
        <v>13</v>
      </c>
      <c r="C1538" t="s">
        <v>8</v>
      </c>
      <c r="D1538" t="s">
        <v>14</v>
      </c>
      <c r="E1538">
        <v>25902</v>
      </c>
      <c r="F1538">
        <v>1011.8</v>
      </c>
      <c r="G1538" t="s">
        <v>15</v>
      </c>
      <c r="H1538" t="str">
        <f t="shared" si="46"/>
        <v>PSI</v>
      </c>
      <c r="I1538">
        <f t="shared" si="47"/>
        <v>14.674918303542567</v>
      </c>
    </row>
    <row r="1539" spans="1:9" x14ac:dyDescent="0.2">
      <c r="A1539">
        <v>451594</v>
      </c>
      <c r="B1539" t="s">
        <v>16</v>
      </c>
      <c r="C1539" t="s">
        <v>8</v>
      </c>
      <c r="D1539" t="s">
        <v>17</v>
      </c>
      <c r="E1539" t="s">
        <v>18</v>
      </c>
      <c r="F1539" t="s">
        <v>18</v>
      </c>
      <c r="G1539" t="s">
        <v>18</v>
      </c>
      <c r="H1539" t="e">
        <f t="shared" ref="H1539:H1602" si="48">IF(FIND("Pa",G1539,1),"PSI","-")</f>
        <v>#VALUE!</v>
      </c>
      <c r="I1539" t="str">
        <f t="shared" ref="I1539:I1602" si="49">IF(G1539="hPa",CONVERT(F1539*100,"Pa","psi"), IF(G1539="MPa",CONVERT(F1539*1000000,"Pa","psi"),"-"))</f>
        <v>-</v>
      </c>
    </row>
    <row r="1540" spans="1:9" x14ac:dyDescent="0.2">
      <c r="A1540">
        <v>451806</v>
      </c>
      <c r="B1540" t="s">
        <v>19</v>
      </c>
      <c r="C1540" t="s">
        <v>8</v>
      </c>
      <c r="D1540" t="s">
        <v>20</v>
      </c>
      <c r="E1540">
        <v>13023</v>
      </c>
      <c r="F1540">
        <v>1017.42</v>
      </c>
      <c r="G1540" t="s">
        <v>15</v>
      </c>
      <c r="H1540" t="str">
        <f t="shared" si="48"/>
        <v>PSI</v>
      </c>
      <c r="I1540">
        <f t="shared" si="49"/>
        <v>14.756429512146946</v>
      </c>
    </row>
    <row r="1541" spans="1:9" x14ac:dyDescent="0.2">
      <c r="A1541">
        <v>452018</v>
      </c>
      <c r="B1541" t="s">
        <v>21</v>
      </c>
      <c r="C1541" t="s">
        <v>8</v>
      </c>
      <c r="D1541" t="s">
        <v>22</v>
      </c>
      <c r="E1541">
        <v>3781</v>
      </c>
      <c r="F1541">
        <v>945.25</v>
      </c>
      <c r="G1541" t="s">
        <v>23</v>
      </c>
      <c r="H1541" t="e">
        <f t="shared" si="48"/>
        <v>#VALUE!</v>
      </c>
      <c r="I1541" t="str">
        <f t="shared" si="49"/>
        <v>-</v>
      </c>
    </row>
    <row r="1542" spans="1:9" x14ac:dyDescent="0.2">
      <c r="A1542">
        <v>452220</v>
      </c>
      <c r="B1542" t="s">
        <v>24</v>
      </c>
      <c r="C1542" t="s">
        <v>8</v>
      </c>
      <c r="D1542" t="s">
        <v>25</v>
      </c>
      <c r="E1542">
        <v>2</v>
      </c>
      <c r="F1542">
        <v>2</v>
      </c>
      <c r="G1542" t="s">
        <v>26</v>
      </c>
      <c r="H1542" t="e">
        <f t="shared" si="48"/>
        <v>#VALUE!</v>
      </c>
      <c r="I1542" t="str">
        <f t="shared" si="49"/>
        <v>-</v>
      </c>
    </row>
    <row r="1543" spans="1:9" x14ac:dyDescent="0.2">
      <c r="A1543">
        <v>452452</v>
      </c>
      <c r="B1543" t="s">
        <v>27</v>
      </c>
      <c r="C1543" t="s">
        <v>8</v>
      </c>
      <c r="D1543" t="s">
        <v>28</v>
      </c>
      <c r="E1543">
        <v>604</v>
      </c>
      <c r="F1543">
        <v>14.18</v>
      </c>
      <c r="G1543" t="s">
        <v>29</v>
      </c>
      <c r="H1543" t="e">
        <f t="shared" si="48"/>
        <v>#VALUE!</v>
      </c>
      <c r="I1543" t="str">
        <f t="shared" si="49"/>
        <v>-</v>
      </c>
    </row>
    <row r="1544" spans="1:9" x14ac:dyDescent="0.2">
      <c r="A1544">
        <v>452664</v>
      </c>
      <c r="B1544" t="s">
        <v>30</v>
      </c>
      <c r="C1544" t="s">
        <v>8</v>
      </c>
      <c r="D1544" t="s">
        <v>31</v>
      </c>
      <c r="E1544">
        <v>2795</v>
      </c>
      <c r="F1544">
        <v>2795</v>
      </c>
      <c r="G1544" t="s">
        <v>15</v>
      </c>
      <c r="H1544" t="str">
        <f t="shared" si="48"/>
        <v>PSI</v>
      </c>
      <c r="I1544">
        <f t="shared" si="49"/>
        <v>40.538047695593477</v>
      </c>
    </row>
    <row r="1545" spans="1:9" x14ac:dyDescent="0.2">
      <c r="A1545">
        <v>452876</v>
      </c>
      <c r="B1545" t="s">
        <v>32</v>
      </c>
      <c r="C1545" t="s">
        <v>8</v>
      </c>
      <c r="D1545" t="s">
        <v>33</v>
      </c>
      <c r="E1545">
        <v>3878</v>
      </c>
      <c r="F1545">
        <v>0.95</v>
      </c>
      <c r="G1545" t="s">
        <v>26</v>
      </c>
      <c r="H1545" t="e">
        <f t="shared" si="48"/>
        <v>#VALUE!</v>
      </c>
      <c r="I1545" t="str">
        <f t="shared" si="49"/>
        <v>-</v>
      </c>
    </row>
    <row r="1546" spans="1:9" x14ac:dyDescent="0.2">
      <c r="A1546">
        <v>453088</v>
      </c>
      <c r="B1546" t="s">
        <v>34</v>
      </c>
      <c r="C1546" t="s">
        <v>8</v>
      </c>
      <c r="D1546" t="s">
        <v>35</v>
      </c>
      <c r="E1546">
        <v>3877</v>
      </c>
      <c r="F1546">
        <v>0.95</v>
      </c>
      <c r="G1546" t="s">
        <v>26</v>
      </c>
      <c r="H1546" t="e">
        <f t="shared" si="48"/>
        <v>#VALUE!</v>
      </c>
      <c r="I1546" t="str">
        <f t="shared" si="49"/>
        <v>-</v>
      </c>
    </row>
    <row r="1547" spans="1:9" x14ac:dyDescent="0.2">
      <c r="A1547">
        <v>453470</v>
      </c>
      <c r="B1547" t="s">
        <v>36</v>
      </c>
      <c r="C1547" t="s">
        <v>8</v>
      </c>
      <c r="D1547" t="s">
        <v>37</v>
      </c>
      <c r="E1547" t="s">
        <v>18</v>
      </c>
      <c r="F1547" t="s">
        <v>18</v>
      </c>
      <c r="G1547" t="s">
        <v>18</v>
      </c>
      <c r="H1547" t="e">
        <f t="shared" si="48"/>
        <v>#VALUE!</v>
      </c>
      <c r="I1547" t="str">
        <f t="shared" si="49"/>
        <v>-</v>
      </c>
    </row>
    <row r="1548" spans="1:9" x14ac:dyDescent="0.2">
      <c r="A1548">
        <v>453852</v>
      </c>
      <c r="B1548" t="s">
        <v>38</v>
      </c>
      <c r="C1548" t="s">
        <v>8</v>
      </c>
      <c r="D1548" t="s">
        <v>39</v>
      </c>
      <c r="E1548" t="s">
        <v>18</v>
      </c>
      <c r="F1548" t="s">
        <v>18</v>
      </c>
      <c r="G1548" t="s">
        <v>18</v>
      </c>
      <c r="H1548" t="e">
        <f t="shared" si="48"/>
        <v>#VALUE!</v>
      </c>
      <c r="I1548" t="str">
        <f t="shared" si="49"/>
        <v>-</v>
      </c>
    </row>
    <row r="1549" spans="1:9" x14ac:dyDescent="0.2">
      <c r="A1549">
        <v>454234</v>
      </c>
      <c r="B1549" t="s">
        <v>40</v>
      </c>
      <c r="C1549" t="s">
        <v>8</v>
      </c>
      <c r="D1549" t="s">
        <v>41</v>
      </c>
      <c r="E1549" t="s">
        <v>18</v>
      </c>
      <c r="F1549" t="s">
        <v>18</v>
      </c>
      <c r="G1549" t="s">
        <v>18</v>
      </c>
      <c r="H1549" t="e">
        <f t="shared" si="48"/>
        <v>#VALUE!</v>
      </c>
      <c r="I1549" t="str">
        <f t="shared" si="49"/>
        <v>-</v>
      </c>
    </row>
    <row r="1550" spans="1:9" x14ac:dyDescent="0.2">
      <c r="A1550">
        <v>454446</v>
      </c>
      <c r="B1550" t="s">
        <v>42</v>
      </c>
      <c r="C1550" t="s">
        <v>8</v>
      </c>
      <c r="D1550" t="s">
        <v>43</v>
      </c>
      <c r="E1550">
        <v>10466</v>
      </c>
      <c r="F1550">
        <v>5.23</v>
      </c>
      <c r="G1550" t="s">
        <v>44</v>
      </c>
      <c r="H1550" t="str">
        <f t="shared" si="48"/>
        <v>PSI</v>
      </c>
      <c r="I1550">
        <f t="shared" si="49"/>
        <v>758.54736832899414</v>
      </c>
    </row>
    <row r="1551" spans="1:9" x14ac:dyDescent="0.2">
      <c r="A1551">
        <v>454638</v>
      </c>
      <c r="B1551" t="s">
        <v>45</v>
      </c>
      <c r="C1551" t="s">
        <v>8</v>
      </c>
      <c r="D1551" t="s">
        <v>46</v>
      </c>
      <c r="E1551">
        <v>1</v>
      </c>
      <c r="F1551">
        <v>1</v>
      </c>
      <c r="G1551" t="s">
        <v>15</v>
      </c>
      <c r="H1551" t="str">
        <f t="shared" si="48"/>
        <v>PSI</v>
      </c>
      <c r="I1551">
        <f t="shared" si="49"/>
        <v>1.4503773773020921E-2</v>
      </c>
    </row>
    <row r="1552" spans="1:9" x14ac:dyDescent="0.2">
      <c r="A1552">
        <v>454850</v>
      </c>
      <c r="B1552" t="s">
        <v>47</v>
      </c>
      <c r="C1552" t="s">
        <v>8</v>
      </c>
      <c r="D1552" t="s">
        <v>48</v>
      </c>
      <c r="E1552">
        <v>4208</v>
      </c>
      <c r="F1552">
        <v>420.8</v>
      </c>
      <c r="G1552" t="s">
        <v>49</v>
      </c>
      <c r="H1552" t="e">
        <f t="shared" si="48"/>
        <v>#VALUE!</v>
      </c>
      <c r="I1552" t="str">
        <f t="shared" si="49"/>
        <v>-</v>
      </c>
    </row>
    <row r="1553" spans="1:9" x14ac:dyDescent="0.2">
      <c r="A1553">
        <v>455071</v>
      </c>
      <c r="B1553" t="s">
        <v>50</v>
      </c>
      <c r="C1553" t="s">
        <v>8</v>
      </c>
      <c r="D1553" t="s">
        <v>51</v>
      </c>
      <c r="E1553">
        <v>24266</v>
      </c>
      <c r="F1553">
        <v>947.89</v>
      </c>
      <c r="G1553" t="s">
        <v>15</v>
      </c>
      <c r="H1553" t="str">
        <f t="shared" si="48"/>
        <v>PSI</v>
      </c>
      <c r="I1553">
        <f t="shared" si="49"/>
        <v>13.7479821217088</v>
      </c>
    </row>
    <row r="1554" spans="1:9" x14ac:dyDescent="0.2">
      <c r="A1554">
        <v>455273</v>
      </c>
      <c r="B1554" t="s">
        <v>52</v>
      </c>
      <c r="C1554" t="s">
        <v>8</v>
      </c>
      <c r="D1554" t="s">
        <v>53</v>
      </c>
      <c r="E1554">
        <v>92</v>
      </c>
      <c r="F1554">
        <v>21</v>
      </c>
      <c r="G1554" t="s">
        <v>10</v>
      </c>
      <c r="H1554" t="e">
        <f t="shared" si="48"/>
        <v>#VALUE!</v>
      </c>
      <c r="I1554" t="str">
        <f t="shared" si="49"/>
        <v>-</v>
      </c>
    </row>
    <row r="1555" spans="1:9" x14ac:dyDescent="0.2">
      <c r="A1555">
        <v>455465</v>
      </c>
      <c r="B1555" t="s">
        <v>54</v>
      </c>
      <c r="C1555" t="s">
        <v>8</v>
      </c>
      <c r="D1555" t="s">
        <v>55</v>
      </c>
      <c r="E1555">
        <v>9</v>
      </c>
      <c r="F1555">
        <v>36</v>
      </c>
      <c r="G1555" t="s">
        <v>56</v>
      </c>
      <c r="H1555" t="e">
        <f t="shared" si="48"/>
        <v>#VALUE!</v>
      </c>
      <c r="I1555" t="str">
        <f t="shared" si="49"/>
        <v>-</v>
      </c>
    </row>
    <row r="1556" spans="1:9" x14ac:dyDescent="0.2">
      <c r="A1556">
        <v>455847</v>
      </c>
      <c r="B1556" t="s">
        <v>57</v>
      </c>
      <c r="C1556" t="s">
        <v>8</v>
      </c>
      <c r="D1556" t="s">
        <v>58</v>
      </c>
      <c r="E1556" t="s">
        <v>18</v>
      </c>
      <c r="F1556" t="s">
        <v>18</v>
      </c>
      <c r="G1556" t="s">
        <v>18</v>
      </c>
      <c r="H1556" t="e">
        <f t="shared" si="48"/>
        <v>#VALUE!</v>
      </c>
      <c r="I1556" t="str">
        <f t="shared" si="49"/>
        <v>-</v>
      </c>
    </row>
    <row r="1557" spans="1:9" x14ac:dyDescent="0.2">
      <c r="A1557">
        <v>456229</v>
      </c>
      <c r="B1557" t="s">
        <v>59</v>
      </c>
      <c r="C1557" t="s">
        <v>8</v>
      </c>
      <c r="D1557" t="s">
        <v>60</v>
      </c>
      <c r="E1557" t="s">
        <v>18</v>
      </c>
      <c r="F1557" t="s">
        <v>18</v>
      </c>
      <c r="G1557" t="s">
        <v>18</v>
      </c>
      <c r="H1557" t="e">
        <f t="shared" si="48"/>
        <v>#VALUE!</v>
      </c>
      <c r="I1557" t="str">
        <f t="shared" si="49"/>
        <v>-</v>
      </c>
    </row>
    <row r="1558" spans="1:9" x14ac:dyDescent="0.2">
      <c r="A1558">
        <v>456611</v>
      </c>
      <c r="B1558" t="s">
        <v>61</v>
      </c>
      <c r="C1558" t="s">
        <v>8</v>
      </c>
      <c r="D1558" t="s">
        <v>62</v>
      </c>
      <c r="E1558" t="s">
        <v>18</v>
      </c>
      <c r="F1558" t="s">
        <v>18</v>
      </c>
      <c r="G1558" t="s">
        <v>18</v>
      </c>
      <c r="H1558" t="e">
        <f t="shared" si="48"/>
        <v>#VALUE!</v>
      </c>
      <c r="I1558" t="str">
        <f t="shared" si="49"/>
        <v>-</v>
      </c>
    </row>
    <row r="1559" spans="1:9" x14ac:dyDescent="0.2">
      <c r="A1559">
        <v>456993</v>
      </c>
      <c r="B1559" t="s">
        <v>63</v>
      </c>
      <c r="C1559" t="s">
        <v>8</v>
      </c>
      <c r="D1559" t="s">
        <v>64</v>
      </c>
      <c r="E1559" t="s">
        <v>18</v>
      </c>
      <c r="F1559" t="s">
        <v>18</v>
      </c>
      <c r="G1559" t="s">
        <v>18</v>
      </c>
      <c r="H1559" t="e">
        <f t="shared" si="48"/>
        <v>#VALUE!</v>
      </c>
      <c r="I1559" t="str">
        <f t="shared" si="49"/>
        <v>-</v>
      </c>
    </row>
    <row r="1560" spans="1:9" x14ac:dyDescent="0.2">
      <c r="A1560">
        <v>457245</v>
      </c>
      <c r="B1560" t="s">
        <v>65</v>
      </c>
      <c r="C1560" t="s">
        <v>8</v>
      </c>
      <c r="D1560" t="s">
        <v>66</v>
      </c>
      <c r="E1560">
        <v>29412</v>
      </c>
      <c r="F1560">
        <v>3.59</v>
      </c>
      <c r="G1560" t="s">
        <v>67</v>
      </c>
      <c r="H1560" t="e">
        <f t="shared" si="48"/>
        <v>#VALUE!</v>
      </c>
      <c r="I1560" t="str">
        <f t="shared" si="49"/>
        <v>-</v>
      </c>
    </row>
    <row r="1561" spans="1:9" x14ac:dyDescent="0.2">
      <c r="A1561">
        <v>457627</v>
      </c>
      <c r="B1561" t="s">
        <v>68</v>
      </c>
      <c r="C1561" t="s">
        <v>8</v>
      </c>
      <c r="D1561" t="s">
        <v>69</v>
      </c>
      <c r="E1561" t="s">
        <v>18</v>
      </c>
      <c r="F1561" t="s">
        <v>18</v>
      </c>
      <c r="G1561" t="s">
        <v>18</v>
      </c>
      <c r="H1561" t="e">
        <f t="shared" si="48"/>
        <v>#VALUE!</v>
      </c>
      <c r="I1561" t="str">
        <f t="shared" si="49"/>
        <v>-</v>
      </c>
    </row>
    <row r="1562" spans="1:9" x14ac:dyDescent="0.2">
      <c r="A1562">
        <v>457829</v>
      </c>
      <c r="B1562" t="s">
        <v>7</v>
      </c>
      <c r="C1562" t="s">
        <v>8</v>
      </c>
      <c r="D1562" t="s">
        <v>9</v>
      </c>
      <c r="E1562">
        <v>165</v>
      </c>
      <c r="F1562">
        <v>105</v>
      </c>
      <c r="G1562" t="s">
        <v>10</v>
      </c>
      <c r="H1562" t="e">
        <f t="shared" si="48"/>
        <v>#VALUE!</v>
      </c>
      <c r="I1562" t="str">
        <f t="shared" si="49"/>
        <v>-</v>
      </c>
    </row>
    <row r="1563" spans="1:9" x14ac:dyDescent="0.2">
      <c r="A1563">
        <v>458021</v>
      </c>
      <c r="B1563" t="s">
        <v>11</v>
      </c>
      <c r="C1563" t="s">
        <v>8</v>
      </c>
      <c r="D1563" t="s">
        <v>12</v>
      </c>
      <c r="E1563">
        <v>201</v>
      </c>
      <c r="F1563">
        <v>102.75</v>
      </c>
      <c r="G1563" t="s">
        <v>10</v>
      </c>
      <c r="H1563" t="e">
        <f t="shared" si="48"/>
        <v>#VALUE!</v>
      </c>
      <c r="I1563" t="str">
        <f t="shared" si="49"/>
        <v>-</v>
      </c>
    </row>
    <row r="1564" spans="1:9" x14ac:dyDescent="0.2">
      <c r="A1564">
        <v>458233</v>
      </c>
      <c r="B1564" t="s">
        <v>13</v>
      </c>
      <c r="C1564" t="s">
        <v>8</v>
      </c>
      <c r="D1564" t="s">
        <v>14</v>
      </c>
      <c r="E1564">
        <v>25902</v>
      </c>
      <c r="F1564">
        <v>1011.8</v>
      </c>
      <c r="G1564" t="s">
        <v>15</v>
      </c>
      <c r="H1564" t="str">
        <f t="shared" si="48"/>
        <v>PSI</v>
      </c>
      <c r="I1564">
        <f t="shared" si="49"/>
        <v>14.674918303542567</v>
      </c>
    </row>
    <row r="1565" spans="1:9" x14ac:dyDescent="0.2">
      <c r="A1565">
        <v>458615</v>
      </c>
      <c r="B1565" t="s">
        <v>16</v>
      </c>
      <c r="C1565" t="s">
        <v>8</v>
      </c>
      <c r="D1565" t="s">
        <v>17</v>
      </c>
      <c r="E1565" t="s">
        <v>18</v>
      </c>
      <c r="F1565" t="s">
        <v>18</v>
      </c>
      <c r="G1565" t="s">
        <v>18</v>
      </c>
      <c r="H1565" t="e">
        <f t="shared" si="48"/>
        <v>#VALUE!</v>
      </c>
      <c r="I1565" t="str">
        <f t="shared" si="49"/>
        <v>-</v>
      </c>
    </row>
    <row r="1566" spans="1:9" x14ac:dyDescent="0.2">
      <c r="A1566">
        <v>458837</v>
      </c>
      <c r="B1566" t="s">
        <v>19</v>
      </c>
      <c r="C1566" t="s">
        <v>8</v>
      </c>
      <c r="D1566" t="s">
        <v>20</v>
      </c>
      <c r="E1566">
        <v>13165</v>
      </c>
      <c r="F1566">
        <v>1028.52</v>
      </c>
      <c r="G1566" t="s">
        <v>15</v>
      </c>
      <c r="H1566" t="str">
        <f t="shared" si="48"/>
        <v>PSI</v>
      </c>
      <c r="I1566">
        <f t="shared" si="49"/>
        <v>14.917421401027477</v>
      </c>
    </row>
    <row r="1567" spans="1:9" x14ac:dyDescent="0.2">
      <c r="A1567">
        <v>459059</v>
      </c>
      <c r="B1567" t="s">
        <v>21</v>
      </c>
      <c r="C1567" t="s">
        <v>8</v>
      </c>
      <c r="D1567" t="s">
        <v>22</v>
      </c>
      <c r="E1567">
        <v>7779</v>
      </c>
      <c r="F1567">
        <v>1944.75</v>
      </c>
      <c r="G1567" t="s">
        <v>23</v>
      </c>
      <c r="H1567" t="e">
        <f t="shared" si="48"/>
        <v>#VALUE!</v>
      </c>
      <c r="I1567" t="str">
        <f t="shared" si="49"/>
        <v>-</v>
      </c>
    </row>
    <row r="1568" spans="1:9" x14ac:dyDescent="0.2">
      <c r="A1568">
        <v>459251</v>
      </c>
      <c r="B1568" t="s">
        <v>24</v>
      </c>
      <c r="C1568" t="s">
        <v>8</v>
      </c>
      <c r="D1568" t="s">
        <v>25</v>
      </c>
      <c r="E1568">
        <v>3</v>
      </c>
      <c r="F1568">
        <v>3</v>
      </c>
      <c r="G1568" t="s">
        <v>26</v>
      </c>
      <c r="H1568" t="e">
        <f t="shared" si="48"/>
        <v>#VALUE!</v>
      </c>
      <c r="I1568" t="str">
        <f t="shared" si="49"/>
        <v>-</v>
      </c>
    </row>
    <row r="1569" spans="1:9" x14ac:dyDescent="0.2">
      <c r="A1569">
        <v>459463</v>
      </c>
      <c r="B1569" t="s">
        <v>27</v>
      </c>
      <c r="C1569" t="s">
        <v>8</v>
      </c>
      <c r="D1569" t="s">
        <v>28</v>
      </c>
      <c r="E1569">
        <v>604</v>
      </c>
      <c r="F1569">
        <v>14.18</v>
      </c>
      <c r="G1569" t="s">
        <v>29</v>
      </c>
      <c r="H1569" t="e">
        <f t="shared" si="48"/>
        <v>#VALUE!</v>
      </c>
      <c r="I1569" t="str">
        <f t="shared" si="49"/>
        <v>-</v>
      </c>
    </row>
    <row r="1570" spans="1:9" x14ac:dyDescent="0.2">
      <c r="A1570">
        <v>459675</v>
      </c>
      <c r="B1570" t="s">
        <v>30</v>
      </c>
      <c r="C1570" t="s">
        <v>8</v>
      </c>
      <c r="D1570" t="s">
        <v>31</v>
      </c>
      <c r="E1570">
        <v>3123</v>
      </c>
      <c r="F1570">
        <v>3123</v>
      </c>
      <c r="G1570" t="s">
        <v>15</v>
      </c>
      <c r="H1570" t="str">
        <f t="shared" si="48"/>
        <v>PSI</v>
      </c>
      <c r="I1570">
        <f t="shared" si="49"/>
        <v>45.295285493144334</v>
      </c>
    </row>
    <row r="1571" spans="1:9" x14ac:dyDescent="0.2">
      <c r="A1571">
        <v>459898</v>
      </c>
      <c r="B1571" t="s">
        <v>32</v>
      </c>
      <c r="C1571" t="s">
        <v>8</v>
      </c>
      <c r="D1571" t="s">
        <v>33</v>
      </c>
      <c r="E1571">
        <v>3988</v>
      </c>
      <c r="F1571">
        <v>0.97</v>
      </c>
      <c r="G1571" t="s">
        <v>26</v>
      </c>
      <c r="H1571" t="e">
        <f t="shared" si="48"/>
        <v>#VALUE!</v>
      </c>
      <c r="I1571" t="str">
        <f t="shared" si="49"/>
        <v>-</v>
      </c>
    </row>
    <row r="1572" spans="1:9" x14ac:dyDescent="0.2">
      <c r="A1572">
        <v>460109</v>
      </c>
      <c r="B1572" t="s">
        <v>34</v>
      </c>
      <c r="C1572" t="s">
        <v>8</v>
      </c>
      <c r="D1572" t="s">
        <v>35</v>
      </c>
      <c r="E1572">
        <v>3790</v>
      </c>
      <c r="F1572">
        <v>0.93</v>
      </c>
      <c r="G1572" t="s">
        <v>26</v>
      </c>
      <c r="H1572" t="e">
        <f t="shared" si="48"/>
        <v>#VALUE!</v>
      </c>
      <c r="I1572" t="str">
        <f t="shared" si="49"/>
        <v>-</v>
      </c>
    </row>
    <row r="1573" spans="1:9" x14ac:dyDescent="0.2">
      <c r="A1573">
        <v>460490</v>
      </c>
      <c r="B1573" t="s">
        <v>36</v>
      </c>
      <c r="C1573" t="s">
        <v>8</v>
      </c>
      <c r="D1573" t="s">
        <v>37</v>
      </c>
      <c r="E1573" t="s">
        <v>18</v>
      </c>
      <c r="F1573" t="s">
        <v>18</v>
      </c>
      <c r="G1573" t="s">
        <v>18</v>
      </c>
      <c r="H1573" t="e">
        <f t="shared" si="48"/>
        <v>#VALUE!</v>
      </c>
      <c r="I1573" t="str">
        <f t="shared" si="49"/>
        <v>-</v>
      </c>
    </row>
    <row r="1574" spans="1:9" x14ac:dyDescent="0.2">
      <c r="A1574">
        <v>460862</v>
      </c>
      <c r="B1574" t="s">
        <v>38</v>
      </c>
      <c r="C1574" t="s">
        <v>8</v>
      </c>
      <c r="D1574" t="s">
        <v>39</v>
      </c>
      <c r="E1574" t="s">
        <v>18</v>
      </c>
      <c r="F1574" t="s">
        <v>18</v>
      </c>
      <c r="G1574" t="s">
        <v>18</v>
      </c>
      <c r="H1574" t="e">
        <f t="shared" si="48"/>
        <v>#VALUE!</v>
      </c>
      <c r="I1574" t="str">
        <f t="shared" si="49"/>
        <v>-</v>
      </c>
    </row>
    <row r="1575" spans="1:9" x14ac:dyDescent="0.2">
      <c r="A1575">
        <v>461293</v>
      </c>
      <c r="B1575" t="s">
        <v>40</v>
      </c>
      <c r="C1575" t="s">
        <v>8</v>
      </c>
      <c r="D1575" t="s">
        <v>41</v>
      </c>
      <c r="E1575" t="s">
        <v>18</v>
      </c>
      <c r="F1575" t="s">
        <v>18</v>
      </c>
      <c r="G1575" t="s">
        <v>18</v>
      </c>
      <c r="H1575" t="e">
        <f t="shared" si="48"/>
        <v>#VALUE!</v>
      </c>
      <c r="I1575" t="str">
        <f t="shared" si="49"/>
        <v>-</v>
      </c>
    </row>
    <row r="1576" spans="1:9" x14ac:dyDescent="0.2">
      <c r="A1576">
        <v>461505</v>
      </c>
      <c r="B1576" t="s">
        <v>42</v>
      </c>
      <c r="C1576" t="s">
        <v>8</v>
      </c>
      <c r="D1576" t="s">
        <v>43</v>
      </c>
      <c r="E1576">
        <v>10871</v>
      </c>
      <c r="F1576">
        <v>5.44</v>
      </c>
      <c r="G1576" t="s">
        <v>44</v>
      </c>
      <c r="H1576" t="str">
        <f t="shared" si="48"/>
        <v>PSI</v>
      </c>
      <c r="I1576">
        <f t="shared" si="49"/>
        <v>789.00529325233811</v>
      </c>
    </row>
    <row r="1577" spans="1:9" x14ac:dyDescent="0.2">
      <c r="A1577">
        <v>461697</v>
      </c>
      <c r="B1577" t="s">
        <v>45</v>
      </c>
      <c r="C1577" t="s">
        <v>8</v>
      </c>
      <c r="D1577" t="s">
        <v>46</v>
      </c>
      <c r="E1577">
        <v>1</v>
      </c>
      <c r="F1577">
        <v>1</v>
      </c>
      <c r="G1577" t="s">
        <v>15</v>
      </c>
      <c r="H1577" t="str">
        <f t="shared" si="48"/>
        <v>PSI</v>
      </c>
      <c r="I1577">
        <f t="shared" si="49"/>
        <v>1.4503773773020921E-2</v>
      </c>
    </row>
    <row r="1578" spans="1:9" x14ac:dyDescent="0.2">
      <c r="A1578">
        <v>461909</v>
      </c>
      <c r="B1578" t="s">
        <v>47</v>
      </c>
      <c r="C1578" t="s">
        <v>8</v>
      </c>
      <c r="D1578" t="s">
        <v>48</v>
      </c>
      <c r="E1578">
        <v>4278</v>
      </c>
      <c r="F1578">
        <v>427.8</v>
      </c>
      <c r="G1578" t="s">
        <v>49</v>
      </c>
      <c r="H1578" t="e">
        <f t="shared" si="48"/>
        <v>#VALUE!</v>
      </c>
      <c r="I1578" t="str">
        <f t="shared" si="49"/>
        <v>-</v>
      </c>
    </row>
    <row r="1579" spans="1:9" x14ac:dyDescent="0.2">
      <c r="A1579">
        <v>462121</v>
      </c>
      <c r="B1579" t="s">
        <v>50</v>
      </c>
      <c r="C1579" t="s">
        <v>8</v>
      </c>
      <c r="D1579" t="s">
        <v>51</v>
      </c>
      <c r="E1579">
        <v>24490</v>
      </c>
      <c r="F1579">
        <v>956.64</v>
      </c>
      <c r="G1579" t="s">
        <v>15</v>
      </c>
      <c r="H1579" t="str">
        <f t="shared" si="48"/>
        <v>PSI</v>
      </c>
      <c r="I1579">
        <f t="shared" si="49"/>
        <v>13.874890142222734</v>
      </c>
    </row>
    <row r="1580" spans="1:9" x14ac:dyDescent="0.2">
      <c r="A1580">
        <v>462313</v>
      </c>
      <c r="B1580" t="s">
        <v>52</v>
      </c>
      <c r="C1580" t="s">
        <v>8</v>
      </c>
      <c r="D1580" t="s">
        <v>53</v>
      </c>
      <c r="E1580">
        <v>92</v>
      </c>
      <c r="F1580">
        <v>21</v>
      </c>
      <c r="G1580" t="s">
        <v>10</v>
      </c>
      <c r="H1580" t="e">
        <f t="shared" si="48"/>
        <v>#VALUE!</v>
      </c>
      <c r="I1580" t="str">
        <f t="shared" si="49"/>
        <v>-</v>
      </c>
    </row>
    <row r="1581" spans="1:9" x14ac:dyDescent="0.2">
      <c r="A1581">
        <v>462505</v>
      </c>
      <c r="B1581" t="s">
        <v>54</v>
      </c>
      <c r="C1581" t="s">
        <v>8</v>
      </c>
      <c r="D1581" t="s">
        <v>55</v>
      </c>
      <c r="E1581">
        <v>4</v>
      </c>
      <c r="F1581">
        <v>16</v>
      </c>
      <c r="G1581" t="s">
        <v>56</v>
      </c>
      <c r="H1581" t="e">
        <f t="shared" si="48"/>
        <v>#VALUE!</v>
      </c>
      <c r="I1581" t="str">
        <f t="shared" si="49"/>
        <v>-</v>
      </c>
    </row>
    <row r="1582" spans="1:9" x14ac:dyDescent="0.2">
      <c r="A1582">
        <v>462887</v>
      </c>
      <c r="B1582" t="s">
        <v>57</v>
      </c>
      <c r="C1582" t="s">
        <v>8</v>
      </c>
      <c r="D1582" t="s">
        <v>58</v>
      </c>
      <c r="E1582" t="s">
        <v>18</v>
      </c>
      <c r="F1582" t="s">
        <v>18</v>
      </c>
      <c r="G1582" t="s">
        <v>18</v>
      </c>
      <c r="H1582" t="e">
        <f t="shared" si="48"/>
        <v>#VALUE!</v>
      </c>
      <c r="I1582" t="str">
        <f t="shared" si="49"/>
        <v>-</v>
      </c>
    </row>
    <row r="1583" spans="1:9" x14ac:dyDescent="0.2">
      <c r="A1583">
        <v>463259</v>
      </c>
      <c r="B1583" t="s">
        <v>59</v>
      </c>
      <c r="C1583" t="s">
        <v>8</v>
      </c>
      <c r="D1583" t="s">
        <v>60</v>
      </c>
      <c r="E1583" t="s">
        <v>18</v>
      </c>
      <c r="F1583" t="s">
        <v>18</v>
      </c>
      <c r="G1583" t="s">
        <v>18</v>
      </c>
      <c r="H1583" t="e">
        <f t="shared" si="48"/>
        <v>#VALUE!</v>
      </c>
      <c r="I1583" t="str">
        <f t="shared" si="49"/>
        <v>-</v>
      </c>
    </row>
    <row r="1584" spans="1:9" x14ac:dyDescent="0.2">
      <c r="A1584">
        <v>463641</v>
      </c>
      <c r="B1584" t="s">
        <v>61</v>
      </c>
      <c r="C1584" t="s">
        <v>8</v>
      </c>
      <c r="D1584" t="s">
        <v>62</v>
      </c>
      <c r="E1584" t="s">
        <v>18</v>
      </c>
      <c r="F1584" t="s">
        <v>18</v>
      </c>
      <c r="G1584" t="s">
        <v>18</v>
      </c>
      <c r="H1584" t="e">
        <f t="shared" si="48"/>
        <v>#VALUE!</v>
      </c>
      <c r="I1584" t="str">
        <f t="shared" si="49"/>
        <v>-</v>
      </c>
    </row>
    <row r="1585" spans="1:9" x14ac:dyDescent="0.2">
      <c r="A1585">
        <v>464023</v>
      </c>
      <c r="B1585" t="s">
        <v>63</v>
      </c>
      <c r="C1585" t="s">
        <v>8</v>
      </c>
      <c r="D1585" t="s">
        <v>64</v>
      </c>
      <c r="E1585" t="s">
        <v>18</v>
      </c>
      <c r="F1585" t="s">
        <v>18</v>
      </c>
      <c r="G1585" t="s">
        <v>18</v>
      </c>
      <c r="H1585" t="e">
        <f t="shared" si="48"/>
        <v>#VALUE!</v>
      </c>
      <c r="I1585" t="str">
        <f t="shared" si="49"/>
        <v>-</v>
      </c>
    </row>
    <row r="1586" spans="1:9" x14ac:dyDescent="0.2">
      <c r="A1586">
        <v>464275</v>
      </c>
      <c r="B1586" t="s">
        <v>65</v>
      </c>
      <c r="C1586" t="s">
        <v>8</v>
      </c>
      <c r="D1586" t="s">
        <v>66</v>
      </c>
      <c r="E1586">
        <v>29446</v>
      </c>
      <c r="F1586">
        <v>3.59</v>
      </c>
      <c r="G1586" t="s">
        <v>67</v>
      </c>
      <c r="H1586" t="e">
        <f t="shared" si="48"/>
        <v>#VALUE!</v>
      </c>
      <c r="I1586" t="str">
        <f t="shared" si="49"/>
        <v>-</v>
      </c>
    </row>
    <row r="1587" spans="1:9" x14ac:dyDescent="0.2">
      <c r="A1587">
        <v>464657</v>
      </c>
      <c r="B1587" t="s">
        <v>68</v>
      </c>
      <c r="C1587" t="s">
        <v>8</v>
      </c>
      <c r="D1587" t="s">
        <v>69</v>
      </c>
      <c r="E1587" t="s">
        <v>18</v>
      </c>
      <c r="F1587" t="s">
        <v>18</v>
      </c>
      <c r="G1587" t="s">
        <v>18</v>
      </c>
      <c r="H1587" t="e">
        <f t="shared" si="48"/>
        <v>#VALUE!</v>
      </c>
      <c r="I1587" t="str">
        <f t="shared" si="49"/>
        <v>-</v>
      </c>
    </row>
    <row r="1588" spans="1:9" x14ac:dyDescent="0.2">
      <c r="A1588">
        <v>464869</v>
      </c>
      <c r="B1588" t="s">
        <v>7</v>
      </c>
      <c r="C1588" t="s">
        <v>8</v>
      </c>
      <c r="D1588" t="s">
        <v>9</v>
      </c>
      <c r="E1588">
        <v>165</v>
      </c>
      <c r="F1588">
        <v>105</v>
      </c>
      <c r="G1588" t="s">
        <v>10</v>
      </c>
      <c r="H1588" t="e">
        <f t="shared" si="48"/>
        <v>#VALUE!</v>
      </c>
      <c r="I1588" t="str">
        <f t="shared" si="49"/>
        <v>-</v>
      </c>
    </row>
    <row r="1589" spans="1:9" x14ac:dyDescent="0.2">
      <c r="A1589">
        <v>465070</v>
      </c>
      <c r="B1589" t="s">
        <v>11</v>
      </c>
      <c r="C1589" t="s">
        <v>8</v>
      </c>
      <c r="D1589" t="s">
        <v>12</v>
      </c>
      <c r="E1589">
        <v>201</v>
      </c>
      <c r="F1589">
        <v>102.75</v>
      </c>
      <c r="G1589" t="s">
        <v>10</v>
      </c>
      <c r="H1589" t="e">
        <f t="shared" si="48"/>
        <v>#VALUE!</v>
      </c>
      <c r="I1589" t="str">
        <f t="shared" si="49"/>
        <v>-</v>
      </c>
    </row>
    <row r="1590" spans="1:9" x14ac:dyDescent="0.2">
      <c r="A1590">
        <v>465302</v>
      </c>
      <c r="B1590" t="s">
        <v>13</v>
      </c>
      <c r="C1590" t="s">
        <v>8</v>
      </c>
      <c r="D1590" t="s">
        <v>14</v>
      </c>
      <c r="E1590">
        <v>25902</v>
      </c>
      <c r="F1590">
        <v>1011.8</v>
      </c>
      <c r="G1590" t="s">
        <v>15</v>
      </c>
      <c r="H1590" t="str">
        <f t="shared" si="48"/>
        <v>PSI</v>
      </c>
      <c r="I1590">
        <f t="shared" si="49"/>
        <v>14.674918303542567</v>
      </c>
    </row>
    <row r="1591" spans="1:9" x14ac:dyDescent="0.2">
      <c r="A1591">
        <v>465685</v>
      </c>
      <c r="B1591" t="s">
        <v>16</v>
      </c>
      <c r="C1591" t="s">
        <v>8</v>
      </c>
      <c r="D1591" t="s">
        <v>17</v>
      </c>
      <c r="E1591" t="s">
        <v>18</v>
      </c>
      <c r="F1591" t="s">
        <v>18</v>
      </c>
      <c r="G1591" t="s">
        <v>18</v>
      </c>
      <c r="H1591" t="e">
        <f t="shared" si="48"/>
        <v>#VALUE!</v>
      </c>
      <c r="I1591" t="str">
        <f t="shared" si="49"/>
        <v>-</v>
      </c>
    </row>
    <row r="1592" spans="1:9" x14ac:dyDescent="0.2">
      <c r="A1592">
        <v>465897</v>
      </c>
      <c r="B1592" t="s">
        <v>19</v>
      </c>
      <c r="C1592" t="s">
        <v>8</v>
      </c>
      <c r="D1592" t="s">
        <v>20</v>
      </c>
      <c r="E1592">
        <v>13030</v>
      </c>
      <c r="F1592">
        <v>1017.97</v>
      </c>
      <c r="G1592" t="s">
        <v>15</v>
      </c>
      <c r="H1592" t="str">
        <f t="shared" si="48"/>
        <v>PSI</v>
      </c>
      <c r="I1592">
        <f t="shared" si="49"/>
        <v>14.764406587722107</v>
      </c>
    </row>
    <row r="1593" spans="1:9" x14ac:dyDescent="0.2">
      <c r="A1593">
        <v>466109</v>
      </c>
      <c r="B1593" t="s">
        <v>21</v>
      </c>
      <c r="C1593" t="s">
        <v>8</v>
      </c>
      <c r="D1593" t="s">
        <v>22</v>
      </c>
      <c r="E1593">
        <v>4307</v>
      </c>
      <c r="F1593">
        <v>1076.75</v>
      </c>
      <c r="G1593" t="s">
        <v>23</v>
      </c>
      <c r="H1593" t="e">
        <f t="shared" si="48"/>
        <v>#VALUE!</v>
      </c>
      <c r="I1593" t="str">
        <f t="shared" si="49"/>
        <v>-</v>
      </c>
    </row>
    <row r="1594" spans="1:9" x14ac:dyDescent="0.2">
      <c r="A1594">
        <v>466302</v>
      </c>
      <c r="B1594" t="s">
        <v>24</v>
      </c>
      <c r="C1594" t="s">
        <v>8</v>
      </c>
      <c r="D1594" t="s">
        <v>25</v>
      </c>
      <c r="E1594">
        <v>2</v>
      </c>
      <c r="F1594">
        <v>2</v>
      </c>
      <c r="G1594" t="s">
        <v>26</v>
      </c>
      <c r="H1594" t="e">
        <f t="shared" si="48"/>
        <v>#VALUE!</v>
      </c>
      <c r="I1594" t="str">
        <f t="shared" si="49"/>
        <v>-</v>
      </c>
    </row>
    <row r="1595" spans="1:9" x14ac:dyDescent="0.2">
      <c r="A1595">
        <v>466515</v>
      </c>
      <c r="B1595" t="s">
        <v>27</v>
      </c>
      <c r="C1595" t="s">
        <v>8</v>
      </c>
      <c r="D1595" t="s">
        <v>28</v>
      </c>
      <c r="E1595">
        <v>604</v>
      </c>
      <c r="F1595">
        <v>14.18</v>
      </c>
      <c r="G1595" t="s">
        <v>29</v>
      </c>
      <c r="H1595" t="e">
        <f t="shared" si="48"/>
        <v>#VALUE!</v>
      </c>
      <c r="I1595" t="str">
        <f t="shared" si="49"/>
        <v>-</v>
      </c>
    </row>
    <row r="1596" spans="1:9" x14ac:dyDescent="0.2">
      <c r="A1596">
        <v>466727</v>
      </c>
      <c r="B1596" t="s">
        <v>30</v>
      </c>
      <c r="C1596" t="s">
        <v>8</v>
      </c>
      <c r="D1596" t="s">
        <v>31</v>
      </c>
      <c r="E1596">
        <v>2745</v>
      </c>
      <c r="F1596">
        <v>2745</v>
      </c>
      <c r="G1596" t="s">
        <v>15</v>
      </c>
      <c r="H1596" t="str">
        <f t="shared" si="48"/>
        <v>PSI</v>
      </c>
      <c r="I1596">
        <f t="shared" si="49"/>
        <v>39.812859006942425</v>
      </c>
    </row>
    <row r="1597" spans="1:9" x14ac:dyDescent="0.2">
      <c r="A1597">
        <v>466949</v>
      </c>
      <c r="B1597" t="s">
        <v>32</v>
      </c>
      <c r="C1597" t="s">
        <v>8</v>
      </c>
      <c r="D1597" t="s">
        <v>33</v>
      </c>
      <c r="E1597">
        <v>4109</v>
      </c>
      <c r="F1597">
        <v>1</v>
      </c>
      <c r="G1597" t="s">
        <v>26</v>
      </c>
      <c r="H1597" t="e">
        <f t="shared" si="48"/>
        <v>#VALUE!</v>
      </c>
      <c r="I1597" t="str">
        <f t="shared" si="49"/>
        <v>-</v>
      </c>
    </row>
    <row r="1598" spans="1:9" x14ac:dyDescent="0.2">
      <c r="A1598">
        <v>467161</v>
      </c>
      <c r="B1598" t="s">
        <v>34</v>
      </c>
      <c r="C1598" t="s">
        <v>8</v>
      </c>
      <c r="D1598" t="s">
        <v>35</v>
      </c>
      <c r="E1598">
        <v>4193</v>
      </c>
      <c r="F1598">
        <v>1.02</v>
      </c>
      <c r="G1598" t="s">
        <v>26</v>
      </c>
      <c r="H1598" t="e">
        <f t="shared" si="48"/>
        <v>#VALUE!</v>
      </c>
      <c r="I1598" t="str">
        <f t="shared" si="49"/>
        <v>-</v>
      </c>
    </row>
    <row r="1599" spans="1:9" x14ac:dyDescent="0.2">
      <c r="A1599">
        <v>467543</v>
      </c>
      <c r="B1599" t="s">
        <v>36</v>
      </c>
      <c r="C1599" t="s">
        <v>8</v>
      </c>
      <c r="D1599" t="s">
        <v>37</v>
      </c>
      <c r="E1599" t="s">
        <v>18</v>
      </c>
      <c r="F1599" t="s">
        <v>18</v>
      </c>
      <c r="G1599" t="s">
        <v>18</v>
      </c>
      <c r="H1599" t="e">
        <f t="shared" si="48"/>
        <v>#VALUE!</v>
      </c>
      <c r="I1599" t="str">
        <f t="shared" si="49"/>
        <v>-</v>
      </c>
    </row>
    <row r="1600" spans="1:9" x14ac:dyDescent="0.2">
      <c r="A1600">
        <v>467925</v>
      </c>
      <c r="B1600" t="s">
        <v>38</v>
      </c>
      <c r="C1600" t="s">
        <v>8</v>
      </c>
      <c r="D1600" t="s">
        <v>39</v>
      </c>
      <c r="E1600" t="s">
        <v>18</v>
      </c>
      <c r="F1600" t="s">
        <v>18</v>
      </c>
      <c r="G1600" t="s">
        <v>18</v>
      </c>
      <c r="H1600" t="e">
        <f t="shared" si="48"/>
        <v>#VALUE!</v>
      </c>
      <c r="I1600" t="str">
        <f t="shared" si="49"/>
        <v>-</v>
      </c>
    </row>
    <row r="1601" spans="1:9" x14ac:dyDescent="0.2">
      <c r="A1601">
        <v>468307</v>
      </c>
      <c r="B1601" t="s">
        <v>40</v>
      </c>
      <c r="C1601" t="s">
        <v>8</v>
      </c>
      <c r="D1601" t="s">
        <v>41</v>
      </c>
      <c r="E1601" t="s">
        <v>18</v>
      </c>
      <c r="F1601" t="s">
        <v>18</v>
      </c>
      <c r="G1601" t="s">
        <v>18</v>
      </c>
      <c r="H1601" t="e">
        <f t="shared" si="48"/>
        <v>#VALUE!</v>
      </c>
      <c r="I1601" t="str">
        <f t="shared" si="49"/>
        <v>-</v>
      </c>
    </row>
    <row r="1602" spans="1:9" x14ac:dyDescent="0.2">
      <c r="A1602">
        <v>468529</v>
      </c>
      <c r="B1602" t="s">
        <v>42</v>
      </c>
      <c r="C1602" t="s">
        <v>8</v>
      </c>
      <c r="D1602" t="s">
        <v>43</v>
      </c>
      <c r="E1602">
        <v>12480</v>
      </c>
      <c r="F1602">
        <v>6.24</v>
      </c>
      <c r="G1602" t="s">
        <v>44</v>
      </c>
      <c r="H1602" t="str">
        <f t="shared" si="48"/>
        <v>PSI</v>
      </c>
      <c r="I1602">
        <f t="shared" si="49"/>
        <v>905.0354834365055</v>
      </c>
    </row>
    <row r="1603" spans="1:9" x14ac:dyDescent="0.2">
      <c r="A1603">
        <v>468791</v>
      </c>
      <c r="B1603" t="s">
        <v>45</v>
      </c>
      <c r="C1603" t="s">
        <v>8</v>
      </c>
      <c r="D1603" t="s">
        <v>46</v>
      </c>
      <c r="E1603">
        <v>1</v>
      </c>
      <c r="F1603">
        <v>1</v>
      </c>
      <c r="G1603" t="s">
        <v>15</v>
      </c>
      <c r="H1603" t="str">
        <f t="shared" ref="H1603:H1666" si="50">IF(FIND("Pa",G1603,1),"PSI","-")</f>
        <v>PSI</v>
      </c>
      <c r="I1603">
        <f t="shared" ref="I1603:I1666" si="51">IF(G1603="hPa",CONVERT(F1603*100,"Pa","psi"), IF(G1603="MPa",CONVERT(F1603*1000000,"Pa","psi"),"-"))</f>
        <v>1.4503773773020921E-2</v>
      </c>
    </row>
    <row r="1604" spans="1:9" x14ac:dyDescent="0.2">
      <c r="A1604">
        <v>469014</v>
      </c>
      <c r="B1604" t="s">
        <v>47</v>
      </c>
      <c r="C1604" t="s">
        <v>8</v>
      </c>
      <c r="D1604" t="s">
        <v>48</v>
      </c>
      <c r="E1604">
        <v>4349</v>
      </c>
      <c r="F1604">
        <v>434.9</v>
      </c>
      <c r="G1604" t="s">
        <v>49</v>
      </c>
      <c r="H1604" t="e">
        <f t="shared" si="50"/>
        <v>#VALUE!</v>
      </c>
      <c r="I1604" t="str">
        <f t="shared" si="51"/>
        <v>-</v>
      </c>
    </row>
    <row r="1605" spans="1:9" x14ac:dyDescent="0.2">
      <c r="A1605">
        <v>469236</v>
      </c>
      <c r="B1605" t="s">
        <v>50</v>
      </c>
      <c r="C1605" t="s">
        <v>8</v>
      </c>
      <c r="D1605" t="s">
        <v>51</v>
      </c>
      <c r="E1605">
        <v>24407</v>
      </c>
      <c r="F1605">
        <v>953.4</v>
      </c>
      <c r="G1605" t="s">
        <v>15</v>
      </c>
      <c r="H1605" t="str">
        <f t="shared" si="50"/>
        <v>PSI</v>
      </c>
      <c r="I1605">
        <f t="shared" si="51"/>
        <v>13.827897915198147</v>
      </c>
    </row>
    <row r="1606" spans="1:9" x14ac:dyDescent="0.2">
      <c r="A1606">
        <v>469428</v>
      </c>
      <c r="B1606" t="s">
        <v>52</v>
      </c>
      <c r="C1606" t="s">
        <v>8</v>
      </c>
      <c r="D1606" t="s">
        <v>53</v>
      </c>
      <c r="E1606">
        <v>92</v>
      </c>
      <c r="F1606">
        <v>21</v>
      </c>
      <c r="G1606" t="s">
        <v>10</v>
      </c>
      <c r="H1606" t="e">
        <f t="shared" si="50"/>
        <v>#VALUE!</v>
      </c>
      <c r="I1606" t="str">
        <f t="shared" si="51"/>
        <v>-</v>
      </c>
    </row>
    <row r="1607" spans="1:9" x14ac:dyDescent="0.2">
      <c r="A1607">
        <v>469620</v>
      </c>
      <c r="B1607" t="s">
        <v>54</v>
      </c>
      <c r="C1607" t="s">
        <v>8</v>
      </c>
      <c r="D1607" t="s">
        <v>55</v>
      </c>
      <c r="E1607">
        <v>3</v>
      </c>
      <c r="F1607">
        <v>12</v>
      </c>
      <c r="G1607" t="s">
        <v>56</v>
      </c>
      <c r="H1607" t="e">
        <f t="shared" si="50"/>
        <v>#VALUE!</v>
      </c>
      <c r="I1607" t="str">
        <f t="shared" si="51"/>
        <v>-</v>
      </c>
    </row>
    <row r="1608" spans="1:9" x14ac:dyDescent="0.2">
      <c r="A1608">
        <v>470022</v>
      </c>
      <c r="B1608" t="s">
        <v>57</v>
      </c>
      <c r="C1608" t="s">
        <v>8</v>
      </c>
      <c r="D1608" t="s">
        <v>58</v>
      </c>
      <c r="E1608" t="s">
        <v>18</v>
      </c>
      <c r="F1608" t="s">
        <v>18</v>
      </c>
      <c r="G1608" t="s">
        <v>18</v>
      </c>
      <c r="H1608" t="e">
        <f t="shared" si="50"/>
        <v>#VALUE!</v>
      </c>
      <c r="I1608" t="str">
        <f t="shared" si="51"/>
        <v>-</v>
      </c>
    </row>
    <row r="1609" spans="1:9" x14ac:dyDescent="0.2">
      <c r="A1609">
        <v>470404</v>
      </c>
      <c r="B1609" t="s">
        <v>59</v>
      </c>
      <c r="C1609" t="s">
        <v>8</v>
      </c>
      <c r="D1609" t="s">
        <v>60</v>
      </c>
      <c r="E1609" t="s">
        <v>18</v>
      </c>
      <c r="F1609" t="s">
        <v>18</v>
      </c>
      <c r="G1609" t="s">
        <v>18</v>
      </c>
      <c r="H1609" t="e">
        <f t="shared" si="50"/>
        <v>#VALUE!</v>
      </c>
      <c r="I1609" t="str">
        <f t="shared" si="51"/>
        <v>-</v>
      </c>
    </row>
    <row r="1610" spans="1:9" x14ac:dyDescent="0.2">
      <c r="A1610">
        <v>470796</v>
      </c>
      <c r="B1610" t="s">
        <v>61</v>
      </c>
      <c r="C1610" t="s">
        <v>8</v>
      </c>
      <c r="D1610" t="s">
        <v>62</v>
      </c>
      <c r="E1610" t="s">
        <v>18</v>
      </c>
      <c r="F1610" t="s">
        <v>18</v>
      </c>
      <c r="G1610" t="s">
        <v>18</v>
      </c>
      <c r="H1610" t="e">
        <f t="shared" si="50"/>
        <v>#VALUE!</v>
      </c>
      <c r="I1610" t="str">
        <f t="shared" si="51"/>
        <v>-</v>
      </c>
    </row>
    <row r="1611" spans="1:9" x14ac:dyDescent="0.2">
      <c r="A1611">
        <v>471218</v>
      </c>
      <c r="B1611" t="s">
        <v>63</v>
      </c>
      <c r="C1611" t="s">
        <v>8</v>
      </c>
      <c r="D1611" t="s">
        <v>64</v>
      </c>
      <c r="E1611" t="s">
        <v>18</v>
      </c>
      <c r="F1611" t="s">
        <v>18</v>
      </c>
      <c r="G1611" t="s">
        <v>18</v>
      </c>
      <c r="H1611" t="e">
        <f t="shared" si="50"/>
        <v>#VALUE!</v>
      </c>
      <c r="I1611" t="str">
        <f t="shared" si="51"/>
        <v>-</v>
      </c>
    </row>
    <row r="1612" spans="1:9" x14ac:dyDescent="0.2">
      <c r="A1612">
        <v>471470</v>
      </c>
      <c r="B1612" t="s">
        <v>65</v>
      </c>
      <c r="C1612" t="s">
        <v>8</v>
      </c>
      <c r="D1612" t="s">
        <v>66</v>
      </c>
      <c r="E1612">
        <v>29468</v>
      </c>
      <c r="F1612">
        <v>3.6</v>
      </c>
      <c r="G1612" t="s">
        <v>67</v>
      </c>
      <c r="H1612" t="e">
        <f t="shared" si="50"/>
        <v>#VALUE!</v>
      </c>
      <c r="I1612" t="str">
        <f t="shared" si="51"/>
        <v>-</v>
      </c>
    </row>
    <row r="1613" spans="1:9" x14ac:dyDescent="0.2">
      <c r="A1613">
        <v>471842</v>
      </c>
      <c r="B1613" t="s">
        <v>68</v>
      </c>
      <c r="C1613" t="s">
        <v>8</v>
      </c>
      <c r="D1613" t="s">
        <v>69</v>
      </c>
      <c r="E1613" t="s">
        <v>18</v>
      </c>
      <c r="F1613" t="s">
        <v>18</v>
      </c>
      <c r="G1613" t="s">
        <v>18</v>
      </c>
      <c r="H1613" t="e">
        <f t="shared" si="50"/>
        <v>#VALUE!</v>
      </c>
      <c r="I1613" t="str">
        <f t="shared" si="51"/>
        <v>-</v>
      </c>
    </row>
    <row r="1614" spans="1:9" x14ac:dyDescent="0.2">
      <c r="A1614">
        <v>472044</v>
      </c>
      <c r="B1614" t="s">
        <v>7</v>
      </c>
      <c r="C1614" t="s">
        <v>8</v>
      </c>
      <c r="D1614" t="s">
        <v>9</v>
      </c>
      <c r="E1614">
        <v>165</v>
      </c>
      <c r="F1614">
        <v>105</v>
      </c>
      <c r="G1614" t="s">
        <v>10</v>
      </c>
      <c r="H1614" t="e">
        <f t="shared" si="50"/>
        <v>#VALUE!</v>
      </c>
      <c r="I1614" t="str">
        <f t="shared" si="51"/>
        <v>-</v>
      </c>
    </row>
    <row r="1615" spans="1:9" x14ac:dyDescent="0.2">
      <c r="A1615">
        <v>472255</v>
      </c>
      <c r="B1615" t="s">
        <v>11</v>
      </c>
      <c r="C1615" t="s">
        <v>8</v>
      </c>
      <c r="D1615" t="s">
        <v>12</v>
      </c>
      <c r="E1615">
        <v>201</v>
      </c>
      <c r="F1615">
        <v>102.75</v>
      </c>
      <c r="G1615" t="s">
        <v>10</v>
      </c>
      <c r="H1615" t="e">
        <f t="shared" si="50"/>
        <v>#VALUE!</v>
      </c>
      <c r="I1615" t="str">
        <f t="shared" si="51"/>
        <v>-</v>
      </c>
    </row>
    <row r="1616" spans="1:9" x14ac:dyDescent="0.2">
      <c r="A1616">
        <v>472467</v>
      </c>
      <c r="B1616" t="s">
        <v>13</v>
      </c>
      <c r="C1616" t="s">
        <v>8</v>
      </c>
      <c r="D1616" t="s">
        <v>14</v>
      </c>
      <c r="E1616">
        <v>25902</v>
      </c>
      <c r="F1616">
        <v>1011.8</v>
      </c>
      <c r="G1616" t="s">
        <v>15</v>
      </c>
      <c r="H1616" t="str">
        <f t="shared" si="50"/>
        <v>PSI</v>
      </c>
      <c r="I1616">
        <f t="shared" si="51"/>
        <v>14.674918303542567</v>
      </c>
    </row>
    <row r="1617" spans="1:9" x14ac:dyDescent="0.2">
      <c r="A1617">
        <v>472839</v>
      </c>
      <c r="B1617" t="s">
        <v>16</v>
      </c>
      <c r="C1617" t="s">
        <v>8</v>
      </c>
      <c r="D1617" t="s">
        <v>17</v>
      </c>
      <c r="E1617" t="s">
        <v>18</v>
      </c>
      <c r="F1617" t="s">
        <v>18</v>
      </c>
      <c r="G1617" t="s">
        <v>18</v>
      </c>
      <c r="H1617" t="e">
        <f t="shared" si="50"/>
        <v>#VALUE!</v>
      </c>
      <c r="I1617" t="str">
        <f t="shared" si="51"/>
        <v>-</v>
      </c>
    </row>
    <row r="1618" spans="1:9" x14ac:dyDescent="0.2">
      <c r="A1618">
        <v>473051</v>
      </c>
      <c r="B1618" t="s">
        <v>19</v>
      </c>
      <c r="C1618" t="s">
        <v>8</v>
      </c>
      <c r="D1618" t="s">
        <v>20</v>
      </c>
      <c r="E1618">
        <v>13085</v>
      </c>
      <c r="F1618">
        <v>1022.27</v>
      </c>
      <c r="G1618" t="s">
        <v>15</v>
      </c>
      <c r="H1618" t="str">
        <f t="shared" si="50"/>
        <v>PSI</v>
      </c>
      <c r="I1618">
        <f t="shared" si="51"/>
        <v>14.826772814946096</v>
      </c>
    </row>
    <row r="1619" spans="1:9" x14ac:dyDescent="0.2">
      <c r="A1619">
        <v>473263</v>
      </c>
      <c r="B1619" t="s">
        <v>21</v>
      </c>
      <c r="C1619" t="s">
        <v>8</v>
      </c>
      <c r="D1619" t="s">
        <v>22</v>
      </c>
      <c r="E1619">
        <v>6335</v>
      </c>
      <c r="F1619">
        <v>1583.75</v>
      </c>
      <c r="G1619" t="s">
        <v>23</v>
      </c>
      <c r="H1619" t="e">
        <f t="shared" si="50"/>
        <v>#VALUE!</v>
      </c>
      <c r="I1619" t="str">
        <f t="shared" si="51"/>
        <v>-</v>
      </c>
    </row>
    <row r="1620" spans="1:9" x14ac:dyDescent="0.2">
      <c r="A1620">
        <v>473455</v>
      </c>
      <c r="B1620" t="s">
        <v>24</v>
      </c>
      <c r="C1620" t="s">
        <v>8</v>
      </c>
      <c r="D1620" t="s">
        <v>25</v>
      </c>
      <c r="E1620">
        <v>3</v>
      </c>
      <c r="F1620">
        <v>3</v>
      </c>
      <c r="G1620" t="s">
        <v>26</v>
      </c>
      <c r="H1620" t="e">
        <f t="shared" si="50"/>
        <v>#VALUE!</v>
      </c>
      <c r="I1620" t="str">
        <f t="shared" si="51"/>
        <v>-</v>
      </c>
    </row>
    <row r="1621" spans="1:9" x14ac:dyDescent="0.2">
      <c r="A1621">
        <v>473676</v>
      </c>
      <c r="B1621" t="s">
        <v>27</v>
      </c>
      <c r="C1621" t="s">
        <v>8</v>
      </c>
      <c r="D1621" t="s">
        <v>28</v>
      </c>
      <c r="E1621">
        <v>603</v>
      </c>
      <c r="F1621">
        <v>14.16</v>
      </c>
      <c r="G1621" t="s">
        <v>29</v>
      </c>
      <c r="H1621" t="e">
        <f t="shared" si="50"/>
        <v>#VALUE!</v>
      </c>
      <c r="I1621" t="str">
        <f t="shared" si="51"/>
        <v>-</v>
      </c>
    </row>
    <row r="1622" spans="1:9" x14ac:dyDescent="0.2">
      <c r="A1622">
        <v>473888</v>
      </c>
      <c r="B1622" t="s">
        <v>30</v>
      </c>
      <c r="C1622" t="s">
        <v>8</v>
      </c>
      <c r="D1622" t="s">
        <v>31</v>
      </c>
      <c r="E1622">
        <v>2814</v>
      </c>
      <c r="F1622">
        <v>2814</v>
      </c>
      <c r="G1622" t="s">
        <v>15</v>
      </c>
      <c r="H1622" t="str">
        <f t="shared" si="50"/>
        <v>PSI</v>
      </c>
      <c r="I1622">
        <f t="shared" si="51"/>
        <v>40.813619397280874</v>
      </c>
    </row>
    <row r="1623" spans="1:9" x14ac:dyDescent="0.2">
      <c r="A1623">
        <v>474101</v>
      </c>
      <c r="B1623" t="s">
        <v>32</v>
      </c>
      <c r="C1623" t="s">
        <v>8</v>
      </c>
      <c r="D1623" t="s">
        <v>33</v>
      </c>
      <c r="E1623">
        <v>3766</v>
      </c>
      <c r="F1623">
        <v>0.92</v>
      </c>
      <c r="G1623" t="s">
        <v>26</v>
      </c>
      <c r="H1623" t="e">
        <f t="shared" si="50"/>
        <v>#VALUE!</v>
      </c>
      <c r="I1623" t="str">
        <f t="shared" si="51"/>
        <v>-</v>
      </c>
    </row>
    <row r="1624" spans="1:9" x14ac:dyDescent="0.2">
      <c r="A1624">
        <v>474313</v>
      </c>
      <c r="B1624" t="s">
        <v>34</v>
      </c>
      <c r="C1624" t="s">
        <v>8</v>
      </c>
      <c r="D1624" t="s">
        <v>35</v>
      </c>
      <c r="E1624">
        <v>3838</v>
      </c>
      <c r="F1624">
        <v>0.94</v>
      </c>
      <c r="G1624" t="s">
        <v>26</v>
      </c>
      <c r="H1624" t="e">
        <f t="shared" si="50"/>
        <v>#VALUE!</v>
      </c>
      <c r="I1624" t="str">
        <f t="shared" si="51"/>
        <v>-</v>
      </c>
    </row>
    <row r="1625" spans="1:9" x14ac:dyDescent="0.2">
      <c r="A1625">
        <v>474695</v>
      </c>
      <c r="B1625" t="s">
        <v>36</v>
      </c>
      <c r="C1625" t="s">
        <v>8</v>
      </c>
      <c r="D1625" t="s">
        <v>37</v>
      </c>
      <c r="E1625" t="s">
        <v>18</v>
      </c>
      <c r="F1625" t="s">
        <v>18</v>
      </c>
      <c r="G1625" t="s">
        <v>18</v>
      </c>
      <c r="H1625" t="e">
        <f t="shared" si="50"/>
        <v>#VALUE!</v>
      </c>
      <c r="I1625" t="str">
        <f t="shared" si="51"/>
        <v>-</v>
      </c>
    </row>
    <row r="1626" spans="1:9" x14ac:dyDescent="0.2">
      <c r="A1626">
        <v>475087</v>
      </c>
      <c r="B1626" t="s">
        <v>38</v>
      </c>
      <c r="C1626" t="s">
        <v>8</v>
      </c>
      <c r="D1626" t="s">
        <v>39</v>
      </c>
      <c r="E1626" t="s">
        <v>18</v>
      </c>
      <c r="F1626" t="s">
        <v>18</v>
      </c>
      <c r="G1626" t="s">
        <v>18</v>
      </c>
      <c r="H1626" t="e">
        <f t="shared" si="50"/>
        <v>#VALUE!</v>
      </c>
      <c r="I1626" t="str">
        <f t="shared" si="51"/>
        <v>-</v>
      </c>
    </row>
    <row r="1627" spans="1:9" x14ac:dyDescent="0.2">
      <c r="A1627">
        <v>475488</v>
      </c>
      <c r="B1627" t="s">
        <v>40</v>
      </c>
      <c r="C1627" t="s">
        <v>8</v>
      </c>
      <c r="D1627" t="s">
        <v>41</v>
      </c>
      <c r="E1627" t="s">
        <v>18</v>
      </c>
      <c r="F1627" t="s">
        <v>18</v>
      </c>
      <c r="G1627" t="s">
        <v>18</v>
      </c>
      <c r="H1627" t="e">
        <f t="shared" si="50"/>
        <v>#VALUE!</v>
      </c>
      <c r="I1627" t="str">
        <f t="shared" si="51"/>
        <v>-</v>
      </c>
    </row>
    <row r="1628" spans="1:9" x14ac:dyDescent="0.2">
      <c r="A1628">
        <v>475700</v>
      </c>
      <c r="B1628" t="s">
        <v>42</v>
      </c>
      <c r="C1628" t="s">
        <v>8</v>
      </c>
      <c r="D1628" t="s">
        <v>43</v>
      </c>
      <c r="E1628">
        <v>10729</v>
      </c>
      <c r="F1628">
        <v>5.36</v>
      </c>
      <c r="G1628" t="s">
        <v>44</v>
      </c>
      <c r="H1628" t="str">
        <f t="shared" si="50"/>
        <v>PSI</v>
      </c>
      <c r="I1628">
        <f t="shared" si="51"/>
        <v>777.40227423392139</v>
      </c>
    </row>
    <row r="1629" spans="1:9" x14ac:dyDescent="0.2">
      <c r="A1629">
        <v>475892</v>
      </c>
      <c r="B1629" t="s">
        <v>45</v>
      </c>
      <c r="C1629" t="s">
        <v>8</v>
      </c>
      <c r="D1629" t="s">
        <v>46</v>
      </c>
      <c r="E1629">
        <v>1</v>
      </c>
      <c r="F1629">
        <v>1</v>
      </c>
      <c r="G1629" t="s">
        <v>15</v>
      </c>
      <c r="H1629" t="str">
        <f t="shared" si="50"/>
        <v>PSI</v>
      </c>
      <c r="I1629">
        <f t="shared" si="51"/>
        <v>1.4503773773020921E-2</v>
      </c>
    </row>
    <row r="1630" spans="1:9" x14ac:dyDescent="0.2">
      <c r="A1630">
        <v>476105</v>
      </c>
      <c r="B1630" t="s">
        <v>47</v>
      </c>
      <c r="C1630" t="s">
        <v>8</v>
      </c>
      <c r="D1630" t="s">
        <v>48</v>
      </c>
      <c r="E1630">
        <v>4420</v>
      </c>
      <c r="F1630">
        <v>442</v>
      </c>
      <c r="G1630" t="s">
        <v>49</v>
      </c>
      <c r="H1630" t="e">
        <f t="shared" si="50"/>
        <v>#VALUE!</v>
      </c>
      <c r="I1630" t="str">
        <f t="shared" si="51"/>
        <v>-</v>
      </c>
    </row>
    <row r="1631" spans="1:9" x14ac:dyDescent="0.2">
      <c r="A1631">
        <v>476307</v>
      </c>
      <c r="B1631" t="s">
        <v>50</v>
      </c>
      <c r="C1631" t="s">
        <v>8</v>
      </c>
      <c r="D1631" t="s">
        <v>51</v>
      </c>
      <c r="E1631">
        <v>24519</v>
      </c>
      <c r="F1631">
        <v>957.77</v>
      </c>
      <c r="G1631" t="s">
        <v>15</v>
      </c>
      <c r="H1631" t="str">
        <f t="shared" si="50"/>
        <v>PSI</v>
      </c>
      <c r="I1631">
        <f t="shared" si="51"/>
        <v>13.891279406586248</v>
      </c>
    </row>
    <row r="1632" spans="1:9" x14ac:dyDescent="0.2">
      <c r="A1632">
        <v>476499</v>
      </c>
      <c r="B1632" t="s">
        <v>52</v>
      </c>
      <c r="C1632" t="s">
        <v>8</v>
      </c>
      <c r="D1632" t="s">
        <v>53</v>
      </c>
      <c r="E1632">
        <v>92</v>
      </c>
      <c r="F1632">
        <v>21</v>
      </c>
      <c r="G1632" t="s">
        <v>10</v>
      </c>
      <c r="H1632" t="e">
        <f t="shared" si="50"/>
        <v>#VALUE!</v>
      </c>
      <c r="I1632" t="str">
        <f t="shared" si="51"/>
        <v>-</v>
      </c>
    </row>
    <row r="1633" spans="1:9" x14ac:dyDescent="0.2">
      <c r="A1633">
        <v>476691</v>
      </c>
      <c r="B1633" t="s">
        <v>54</v>
      </c>
      <c r="C1633" t="s">
        <v>8</v>
      </c>
      <c r="D1633" t="s">
        <v>55</v>
      </c>
      <c r="E1633">
        <v>3</v>
      </c>
      <c r="F1633">
        <v>12</v>
      </c>
      <c r="G1633" t="s">
        <v>56</v>
      </c>
      <c r="H1633" t="e">
        <f t="shared" si="50"/>
        <v>#VALUE!</v>
      </c>
      <c r="I1633" t="str">
        <f t="shared" si="51"/>
        <v>-</v>
      </c>
    </row>
    <row r="1634" spans="1:9" x14ac:dyDescent="0.2">
      <c r="A1634">
        <v>477073</v>
      </c>
      <c r="B1634" t="s">
        <v>57</v>
      </c>
      <c r="C1634" t="s">
        <v>8</v>
      </c>
      <c r="D1634" t="s">
        <v>58</v>
      </c>
      <c r="E1634" t="s">
        <v>18</v>
      </c>
      <c r="F1634" t="s">
        <v>18</v>
      </c>
      <c r="G1634" t="s">
        <v>18</v>
      </c>
      <c r="H1634" t="e">
        <f t="shared" si="50"/>
        <v>#VALUE!</v>
      </c>
      <c r="I1634" t="str">
        <f t="shared" si="51"/>
        <v>-</v>
      </c>
    </row>
    <row r="1635" spans="1:9" x14ac:dyDescent="0.2">
      <c r="A1635">
        <v>477455</v>
      </c>
      <c r="B1635" t="s">
        <v>59</v>
      </c>
      <c r="C1635" t="s">
        <v>8</v>
      </c>
      <c r="D1635" t="s">
        <v>60</v>
      </c>
      <c r="E1635" t="s">
        <v>18</v>
      </c>
      <c r="F1635" t="s">
        <v>18</v>
      </c>
      <c r="G1635" t="s">
        <v>18</v>
      </c>
      <c r="H1635" t="e">
        <f t="shared" si="50"/>
        <v>#VALUE!</v>
      </c>
      <c r="I1635" t="str">
        <f t="shared" si="51"/>
        <v>-</v>
      </c>
    </row>
    <row r="1636" spans="1:9" x14ac:dyDescent="0.2">
      <c r="A1636">
        <v>477837</v>
      </c>
      <c r="B1636" t="s">
        <v>61</v>
      </c>
      <c r="C1636" t="s">
        <v>8</v>
      </c>
      <c r="D1636" t="s">
        <v>62</v>
      </c>
      <c r="E1636" t="s">
        <v>18</v>
      </c>
      <c r="F1636" t="s">
        <v>18</v>
      </c>
      <c r="G1636" t="s">
        <v>18</v>
      </c>
      <c r="H1636" t="e">
        <f t="shared" si="50"/>
        <v>#VALUE!</v>
      </c>
      <c r="I1636" t="str">
        <f t="shared" si="51"/>
        <v>-</v>
      </c>
    </row>
    <row r="1637" spans="1:9" x14ac:dyDescent="0.2">
      <c r="A1637">
        <v>478219</v>
      </c>
      <c r="B1637" t="s">
        <v>63</v>
      </c>
      <c r="C1637" t="s">
        <v>8</v>
      </c>
      <c r="D1637" t="s">
        <v>64</v>
      </c>
      <c r="E1637" t="s">
        <v>18</v>
      </c>
      <c r="F1637" t="s">
        <v>18</v>
      </c>
      <c r="G1637" t="s">
        <v>18</v>
      </c>
      <c r="H1637" t="e">
        <f t="shared" si="50"/>
        <v>#VALUE!</v>
      </c>
      <c r="I1637" t="str">
        <f t="shared" si="51"/>
        <v>-</v>
      </c>
    </row>
    <row r="1638" spans="1:9" x14ac:dyDescent="0.2">
      <c r="A1638">
        <v>478471</v>
      </c>
      <c r="B1638" t="s">
        <v>65</v>
      </c>
      <c r="C1638" t="s">
        <v>8</v>
      </c>
      <c r="D1638" t="s">
        <v>66</v>
      </c>
      <c r="E1638">
        <v>29493</v>
      </c>
      <c r="F1638">
        <v>3.6</v>
      </c>
      <c r="G1638" t="s">
        <v>67</v>
      </c>
      <c r="H1638" t="e">
        <f t="shared" si="50"/>
        <v>#VALUE!</v>
      </c>
      <c r="I1638" t="str">
        <f t="shared" si="51"/>
        <v>-</v>
      </c>
    </row>
    <row r="1639" spans="1:9" x14ac:dyDescent="0.2">
      <c r="A1639">
        <v>478913</v>
      </c>
      <c r="B1639" t="s">
        <v>68</v>
      </c>
      <c r="C1639" t="s">
        <v>8</v>
      </c>
      <c r="D1639" t="s">
        <v>69</v>
      </c>
      <c r="E1639" t="s">
        <v>18</v>
      </c>
      <c r="F1639" t="s">
        <v>18</v>
      </c>
      <c r="G1639" t="s">
        <v>18</v>
      </c>
      <c r="H1639" t="e">
        <f t="shared" si="50"/>
        <v>#VALUE!</v>
      </c>
      <c r="I1639" t="str">
        <f t="shared" si="51"/>
        <v>-</v>
      </c>
    </row>
    <row r="1640" spans="1:9" x14ac:dyDescent="0.2">
      <c r="A1640">
        <v>479135</v>
      </c>
      <c r="B1640" t="s">
        <v>7</v>
      </c>
      <c r="C1640" t="s">
        <v>8</v>
      </c>
      <c r="D1640" t="s">
        <v>9</v>
      </c>
      <c r="E1640">
        <v>165</v>
      </c>
      <c r="F1640">
        <v>105</v>
      </c>
      <c r="G1640" t="s">
        <v>10</v>
      </c>
      <c r="H1640" t="e">
        <f t="shared" si="50"/>
        <v>#VALUE!</v>
      </c>
      <c r="I1640" t="str">
        <f t="shared" si="51"/>
        <v>-</v>
      </c>
    </row>
    <row r="1641" spans="1:9" x14ac:dyDescent="0.2">
      <c r="A1641">
        <v>479327</v>
      </c>
      <c r="B1641" t="s">
        <v>11</v>
      </c>
      <c r="C1641" t="s">
        <v>8</v>
      </c>
      <c r="D1641" t="s">
        <v>12</v>
      </c>
      <c r="E1641">
        <v>202</v>
      </c>
      <c r="F1641">
        <v>103.5</v>
      </c>
      <c r="G1641" t="s">
        <v>10</v>
      </c>
      <c r="H1641" t="e">
        <f t="shared" si="50"/>
        <v>#VALUE!</v>
      </c>
      <c r="I1641" t="str">
        <f t="shared" si="51"/>
        <v>-</v>
      </c>
    </row>
    <row r="1642" spans="1:9" x14ac:dyDescent="0.2">
      <c r="A1642">
        <v>479539</v>
      </c>
      <c r="B1642" t="s">
        <v>13</v>
      </c>
      <c r="C1642" t="s">
        <v>8</v>
      </c>
      <c r="D1642" t="s">
        <v>14</v>
      </c>
      <c r="E1642">
        <v>25902</v>
      </c>
      <c r="F1642">
        <v>1011.8</v>
      </c>
      <c r="G1642" t="s">
        <v>15</v>
      </c>
      <c r="H1642" t="str">
        <f t="shared" si="50"/>
        <v>PSI</v>
      </c>
      <c r="I1642">
        <f t="shared" si="51"/>
        <v>14.674918303542567</v>
      </c>
    </row>
    <row r="1643" spans="1:9" x14ac:dyDescent="0.2">
      <c r="A1643">
        <v>479921</v>
      </c>
      <c r="B1643" t="s">
        <v>16</v>
      </c>
      <c r="C1643" t="s">
        <v>8</v>
      </c>
      <c r="D1643" t="s">
        <v>17</v>
      </c>
      <c r="E1643" t="s">
        <v>18</v>
      </c>
      <c r="F1643" t="s">
        <v>18</v>
      </c>
      <c r="G1643" t="s">
        <v>18</v>
      </c>
      <c r="H1643" t="e">
        <f t="shared" si="50"/>
        <v>#VALUE!</v>
      </c>
      <c r="I1643" t="str">
        <f t="shared" si="51"/>
        <v>-</v>
      </c>
    </row>
    <row r="1644" spans="1:9" x14ac:dyDescent="0.2">
      <c r="A1644">
        <v>480133</v>
      </c>
      <c r="B1644" t="s">
        <v>19</v>
      </c>
      <c r="C1644" t="s">
        <v>8</v>
      </c>
      <c r="D1644" t="s">
        <v>20</v>
      </c>
      <c r="E1644">
        <v>13024</v>
      </c>
      <c r="F1644">
        <v>1017.5</v>
      </c>
      <c r="G1644" t="s">
        <v>15</v>
      </c>
      <c r="H1644" t="str">
        <f t="shared" si="50"/>
        <v>PSI</v>
      </c>
      <c r="I1644">
        <f t="shared" si="51"/>
        <v>14.757589814048787</v>
      </c>
    </row>
    <row r="1645" spans="1:9" x14ac:dyDescent="0.2">
      <c r="A1645">
        <v>480347</v>
      </c>
      <c r="B1645" t="s">
        <v>21</v>
      </c>
      <c r="C1645" t="s">
        <v>8</v>
      </c>
      <c r="D1645" t="s">
        <v>22</v>
      </c>
      <c r="E1645">
        <v>6407</v>
      </c>
      <c r="F1645">
        <v>1601.75</v>
      </c>
      <c r="G1645" t="s">
        <v>23</v>
      </c>
      <c r="H1645" t="e">
        <f t="shared" si="50"/>
        <v>#VALUE!</v>
      </c>
      <c r="I1645" t="str">
        <f t="shared" si="51"/>
        <v>-</v>
      </c>
    </row>
    <row r="1646" spans="1:9" x14ac:dyDescent="0.2">
      <c r="A1646">
        <v>480539</v>
      </c>
      <c r="B1646" t="s">
        <v>24</v>
      </c>
      <c r="C1646" t="s">
        <v>8</v>
      </c>
      <c r="D1646" t="s">
        <v>25</v>
      </c>
      <c r="E1646">
        <v>3</v>
      </c>
      <c r="F1646">
        <v>3</v>
      </c>
      <c r="G1646" t="s">
        <v>26</v>
      </c>
      <c r="H1646" t="e">
        <f t="shared" si="50"/>
        <v>#VALUE!</v>
      </c>
      <c r="I1646" t="str">
        <f t="shared" si="51"/>
        <v>-</v>
      </c>
    </row>
    <row r="1647" spans="1:9" x14ac:dyDescent="0.2">
      <c r="A1647">
        <v>480751</v>
      </c>
      <c r="B1647" t="s">
        <v>27</v>
      </c>
      <c r="C1647" t="s">
        <v>8</v>
      </c>
      <c r="D1647" t="s">
        <v>28</v>
      </c>
      <c r="E1647">
        <v>605</v>
      </c>
      <c r="F1647">
        <v>14.21</v>
      </c>
      <c r="G1647" t="s">
        <v>29</v>
      </c>
      <c r="H1647" t="e">
        <f t="shared" si="50"/>
        <v>#VALUE!</v>
      </c>
      <c r="I1647" t="str">
        <f t="shared" si="51"/>
        <v>-</v>
      </c>
    </row>
    <row r="1648" spans="1:9" x14ac:dyDescent="0.2">
      <c r="A1648">
        <v>480964</v>
      </c>
      <c r="B1648" t="s">
        <v>30</v>
      </c>
      <c r="C1648" t="s">
        <v>8</v>
      </c>
      <c r="D1648" t="s">
        <v>31</v>
      </c>
      <c r="E1648">
        <v>3176</v>
      </c>
      <c r="F1648">
        <v>3176</v>
      </c>
      <c r="G1648" t="s">
        <v>15</v>
      </c>
      <c r="H1648" t="str">
        <f t="shared" si="50"/>
        <v>PSI</v>
      </c>
      <c r="I1648">
        <f t="shared" si="51"/>
        <v>46.063985503114445</v>
      </c>
    </row>
    <row r="1649" spans="1:9" x14ac:dyDescent="0.2">
      <c r="A1649">
        <v>481176</v>
      </c>
      <c r="B1649" t="s">
        <v>32</v>
      </c>
      <c r="C1649" t="s">
        <v>8</v>
      </c>
      <c r="D1649" t="s">
        <v>33</v>
      </c>
      <c r="E1649">
        <v>3689</v>
      </c>
      <c r="F1649">
        <v>0.9</v>
      </c>
      <c r="G1649" t="s">
        <v>26</v>
      </c>
      <c r="H1649" t="e">
        <f t="shared" si="50"/>
        <v>#VALUE!</v>
      </c>
      <c r="I1649" t="str">
        <f t="shared" si="51"/>
        <v>-</v>
      </c>
    </row>
    <row r="1650" spans="1:9" x14ac:dyDescent="0.2">
      <c r="A1650">
        <v>481378</v>
      </c>
      <c r="B1650" t="s">
        <v>34</v>
      </c>
      <c r="C1650" t="s">
        <v>8</v>
      </c>
      <c r="D1650" t="s">
        <v>35</v>
      </c>
      <c r="E1650">
        <v>3555</v>
      </c>
      <c r="F1650">
        <v>0.87</v>
      </c>
      <c r="G1650" t="s">
        <v>26</v>
      </c>
      <c r="H1650" t="e">
        <f t="shared" si="50"/>
        <v>#VALUE!</v>
      </c>
      <c r="I1650" t="str">
        <f t="shared" si="51"/>
        <v>-</v>
      </c>
    </row>
    <row r="1651" spans="1:9" x14ac:dyDescent="0.2">
      <c r="A1651">
        <v>481750</v>
      </c>
      <c r="B1651" t="s">
        <v>36</v>
      </c>
      <c r="C1651" t="s">
        <v>8</v>
      </c>
      <c r="D1651" t="s">
        <v>37</v>
      </c>
      <c r="E1651" t="s">
        <v>18</v>
      </c>
      <c r="F1651" t="s">
        <v>18</v>
      </c>
      <c r="G1651" t="s">
        <v>18</v>
      </c>
      <c r="H1651" t="e">
        <f t="shared" si="50"/>
        <v>#VALUE!</v>
      </c>
      <c r="I1651" t="str">
        <f t="shared" si="51"/>
        <v>-</v>
      </c>
    </row>
    <row r="1652" spans="1:9" x14ac:dyDescent="0.2">
      <c r="A1652">
        <v>482132</v>
      </c>
      <c r="B1652" t="s">
        <v>38</v>
      </c>
      <c r="C1652" t="s">
        <v>8</v>
      </c>
      <c r="D1652" t="s">
        <v>39</v>
      </c>
      <c r="E1652" t="s">
        <v>18</v>
      </c>
      <c r="F1652" t="s">
        <v>18</v>
      </c>
      <c r="G1652" t="s">
        <v>18</v>
      </c>
      <c r="H1652" t="e">
        <f t="shared" si="50"/>
        <v>#VALUE!</v>
      </c>
      <c r="I1652" t="str">
        <f t="shared" si="51"/>
        <v>-</v>
      </c>
    </row>
    <row r="1653" spans="1:9" x14ac:dyDescent="0.2">
      <c r="A1653">
        <v>482514</v>
      </c>
      <c r="B1653" t="s">
        <v>40</v>
      </c>
      <c r="C1653" t="s">
        <v>8</v>
      </c>
      <c r="D1653" t="s">
        <v>41</v>
      </c>
      <c r="E1653" t="s">
        <v>18</v>
      </c>
      <c r="F1653" t="s">
        <v>18</v>
      </c>
      <c r="G1653" t="s">
        <v>18</v>
      </c>
      <c r="H1653" t="e">
        <f t="shared" si="50"/>
        <v>#VALUE!</v>
      </c>
      <c r="I1653" t="str">
        <f t="shared" si="51"/>
        <v>-</v>
      </c>
    </row>
    <row r="1654" spans="1:9" x14ac:dyDescent="0.2">
      <c r="A1654">
        <v>482726</v>
      </c>
      <c r="B1654" t="s">
        <v>42</v>
      </c>
      <c r="C1654" t="s">
        <v>8</v>
      </c>
      <c r="D1654" t="s">
        <v>43</v>
      </c>
      <c r="E1654">
        <v>10756</v>
      </c>
      <c r="F1654">
        <v>5.38</v>
      </c>
      <c r="G1654" t="s">
        <v>44</v>
      </c>
      <c r="H1654" t="str">
        <f t="shared" si="50"/>
        <v>PSI</v>
      </c>
      <c r="I1654">
        <f t="shared" si="51"/>
        <v>780.30302898852551</v>
      </c>
    </row>
    <row r="1655" spans="1:9" x14ac:dyDescent="0.2">
      <c r="A1655">
        <v>482918</v>
      </c>
      <c r="B1655" t="s">
        <v>45</v>
      </c>
      <c r="C1655" t="s">
        <v>8</v>
      </c>
      <c r="D1655" t="s">
        <v>46</v>
      </c>
      <c r="E1655">
        <v>5</v>
      </c>
      <c r="F1655">
        <v>5</v>
      </c>
      <c r="G1655" t="s">
        <v>15</v>
      </c>
      <c r="H1655" t="str">
        <f t="shared" si="50"/>
        <v>PSI</v>
      </c>
      <c r="I1655">
        <f t="shared" si="51"/>
        <v>7.2518868865104599E-2</v>
      </c>
    </row>
    <row r="1656" spans="1:9" x14ac:dyDescent="0.2">
      <c r="A1656">
        <v>483129</v>
      </c>
      <c r="B1656" t="s">
        <v>47</v>
      </c>
      <c r="C1656" t="s">
        <v>8</v>
      </c>
      <c r="D1656" t="s">
        <v>48</v>
      </c>
      <c r="E1656">
        <v>4491</v>
      </c>
      <c r="F1656">
        <v>449.1</v>
      </c>
      <c r="G1656" t="s">
        <v>49</v>
      </c>
      <c r="H1656" t="e">
        <f t="shared" si="50"/>
        <v>#VALUE!</v>
      </c>
      <c r="I1656" t="str">
        <f t="shared" si="51"/>
        <v>-</v>
      </c>
    </row>
    <row r="1657" spans="1:9" x14ac:dyDescent="0.2">
      <c r="A1657">
        <v>483341</v>
      </c>
      <c r="B1657" t="s">
        <v>50</v>
      </c>
      <c r="C1657" t="s">
        <v>8</v>
      </c>
      <c r="D1657" t="s">
        <v>51</v>
      </c>
      <c r="E1657">
        <v>24420</v>
      </c>
      <c r="F1657">
        <v>953.91</v>
      </c>
      <c r="G1657" t="s">
        <v>15</v>
      </c>
      <c r="H1657" t="str">
        <f t="shared" si="50"/>
        <v>PSI</v>
      </c>
      <c r="I1657">
        <f t="shared" si="51"/>
        <v>13.835294839822387</v>
      </c>
    </row>
    <row r="1658" spans="1:9" x14ac:dyDescent="0.2">
      <c r="A1658">
        <v>483533</v>
      </c>
      <c r="B1658" t="s">
        <v>52</v>
      </c>
      <c r="C1658" t="s">
        <v>8</v>
      </c>
      <c r="D1658" t="s">
        <v>53</v>
      </c>
      <c r="E1658">
        <v>91</v>
      </c>
      <c r="F1658">
        <v>20.25</v>
      </c>
      <c r="G1658" t="s">
        <v>10</v>
      </c>
      <c r="H1658" t="e">
        <f t="shared" si="50"/>
        <v>#VALUE!</v>
      </c>
      <c r="I1658" t="str">
        <f t="shared" si="51"/>
        <v>-</v>
      </c>
    </row>
    <row r="1659" spans="1:9" x14ac:dyDescent="0.2">
      <c r="A1659">
        <v>483725</v>
      </c>
      <c r="B1659" t="s">
        <v>54</v>
      </c>
      <c r="C1659" t="s">
        <v>8</v>
      </c>
      <c r="D1659" t="s">
        <v>55</v>
      </c>
      <c r="E1659">
        <v>3</v>
      </c>
      <c r="F1659">
        <v>12</v>
      </c>
      <c r="G1659" t="s">
        <v>56</v>
      </c>
      <c r="H1659" t="e">
        <f t="shared" si="50"/>
        <v>#VALUE!</v>
      </c>
      <c r="I1659" t="str">
        <f t="shared" si="51"/>
        <v>-</v>
      </c>
    </row>
    <row r="1660" spans="1:9" x14ac:dyDescent="0.2">
      <c r="A1660">
        <v>484107</v>
      </c>
      <c r="B1660" t="s">
        <v>57</v>
      </c>
      <c r="C1660" t="s">
        <v>8</v>
      </c>
      <c r="D1660" t="s">
        <v>58</v>
      </c>
      <c r="E1660" t="s">
        <v>18</v>
      </c>
      <c r="F1660" t="s">
        <v>18</v>
      </c>
      <c r="G1660" t="s">
        <v>18</v>
      </c>
      <c r="H1660" t="e">
        <f t="shared" si="50"/>
        <v>#VALUE!</v>
      </c>
      <c r="I1660" t="str">
        <f t="shared" si="51"/>
        <v>-</v>
      </c>
    </row>
    <row r="1661" spans="1:9" x14ac:dyDescent="0.2">
      <c r="A1661">
        <v>484489</v>
      </c>
      <c r="B1661" t="s">
        <v>59</v>
      </c>
      <c r="C1661" t="s">
        <v>8</v>
      </c>
      <c r="D1661" t="s">
        <v>60</v>
      </c>
      <c r="E1661" t="s">
        <v>18</v>
      </c>
      <c r="F1661" t="s">
        <v>18</v>
      </c>
      <c r="G1661" t="s">
        <v>18</v>
      </c>
      <c r="H1661" t="e">
        <f t="shared" si="50"/>
        <v>#VALUE!</v>
      </c>
      <c r="I1661" t="str">
        <f t="shared" si="51"/>
        <v>-</v>
      </c>
    </row>
    <row r="1662" spans="1:9" x14ac:dyDescent="0.2">
      <c r="A1662">
        <v>484871</v>
      </c>
      <c r="B1662" t="s">
        <v>61</v>
      </c>
      <c r="C1662" t="s">
        <v>8</v>
      </c>
      <c r="D1662" t="s">
        <v>62</v>
      </c>
      <c r="E1662" t="s">
        <v>18</v>
      </c>
      <c r="F1662" t="s">
        <v>18</v>
      </c>
      <c r="G1662" t="s">
        <v>18</v>
      </c>
      <c r="H1662" t="e">
        <f t="shared" si="50"/>
        <v>#VALUE!</v>
      </c>
      <c r="I1662" t="str">
        <f t="shared" si="51"/>
        <v>-</v>
      </c>
    </row>
    <row r="1663" spans="1:9" x14ac:dyDescent="0.2">
      <c r="A1663">
        <v>485253</v>
      </c>
      <c r="B1663" t="s">
        <v>63</v>
      </c>
      <c r="C1663" t="s">
        <v>8</v>
      </c>
      <c r="D1663" t="s">
        <v>64</v>
      </c>
      <c r="E1663" t="s">
        <v>18</v>
      </c>
      <c r="F1663" t="s">
        <v>18</v>
      </c>
      <c r="G1663" t="s">
        <v>18</v>
      </c>
      <c r="H1663" t="e">
        <f t="shared" si="50"/>
        <v>#VALUE!</v>
      </c>
      <c r="I1663" t="str">
        <f t="shared" si="51"/>
        <v>-</v>
      </c>
    </row>
    <row r="1664" spans="1:9" x14ac:dyDescent="0.2">
      <c r="A1664">
        <v>485505</v>
      </c>
      <c r="B1664" t="s">
        <v>65</v>
      </c>
      <c r="C1664" t="s">
        <v>8</v>
      </c>
      <c r="D1664" t="s">
        <v>66</v>
      </c>
      <c r="E1664">
        <v>29518</v>
      </c>
      <c r="F1664">
        <v>3.6</v>
      </c>
      <c r="G1664" t="s">
        <v>67</v>
      </c>
      <c r="H1664" t="e">
        <f t="shared" si="50"/>
        <v>#VALUE!</v>
      </c>
      <c r="I1664" t="str">
        <f t="shared" si="51"/>
        <v>-</v>
      </c>
    </row>
    <row r="1665" spans="1:9" x14ac:dyDescent="0.2">
      <c r="A1665">
        <v>485887</v>
      </c>
      <c r="B1665" t="s">
        <v>68</v>
      </c>
      <c r="C1665" t="s">
        <v>8</v>
      </c>
      <c r="D1665" t="s">
        <v>69</v>
      </c>
      <c r="E1665" t="s">
        <v>18</v>
      </c>
      <c r="F1665" t="s">
        <v>18</v>
      </c>
      <c r="G1665" t="s">
        <v>18</v>
      </c>
      <c r="H1665" t="e">
        <f t="shared" si="50"/>
        <v>#VALUE!</v>
      </c>
      <c r="I1665" t="str">
        <f t="shared" si="51"/>
        <v>-</v>
      </c>
    </row>
    <row r="1666" spans="1:9" x14ac:dyDescent="0.2">
      <c r="A1666">
        <v>486079</v>
      </c>
      <c r="B1666" t="s">
        <v>7</v>
      </c>
      <c r="C1666" t="s">
        <v>8</v>
      </c>
      <c r="D1666" t="s">
        <v>9</v>
      </c>
      <c r="E1666">
        <v>165</v>
      </c>
      <c r="F1666">
        <v>105</v>
      </c>
      <c r="G1666" t="s">
        <v>10</v>
      </c>
      <c r="H1666" t="e">
        <f t="shared" si="50"/>
        <v>#VALUE!</v>
      </c>
      <c r="I1666" t="str">
        <f t="shared" si="51"/>
        <v>-</v>
      </c>
    </row>
    <row r="1667" spans="1:9" x14ac:dyDescent="0.2">
      <c r="A1667">
        <v>486271</v>
      </c>
      <c r="B1667" t="s">
        <v>11</v>
      </c>
      <c r="C1667" t="s">
        <v>8</v>
      </c>
      <c r="D1667" t="s">
        <v>12</v>
      </c>
      <c r="E1667">
        <v>203</v>
      </c>
      <c r="F1667">
        <v>104.25</v>
      </c>
      <c r="G1667" t="s">
        <v>10</v>
      </c>
      <c r="H1667" t="e">
        <f t="shared" ref="H1667:H1730" si="52">IF(FIND("Pa",G1667,1),"PSI","-")</f>
        <v>#VALUE!</v>
      </c>
      <c r="I1667" t="str">
        <f t="shared" ref="I1667:I1730" si="53">IF(G1667="hPa",CONVERT(F1667*100,"Pa","psi"), IF(G1667="MPa",CONVERT(F1667*1000000,"Pa","psi"),"-"))</f>
        <v>-</v>
      </c>
    </row>
    <row r="1668" spans="1:9" x14ac:dyDescent="0.2">
      <c r="A1668">
        <v>486483</v>
      </c>
      <c r="B1668" t="s">
        <v>13</v>
      </c>
      <c r="C1668" t="s">
        <v>8</v>
      </c>
      <c r="D1668" t="s">
        <v>14</v>
      </c>
      <c r="E1668">
        <v>25902</v>
      </c>
      <c r="F1668">
        <v>1011.8</v>
      </c>
      <c r="G1668" t="s">
        <v>15</v>
      </c>
      <c r="H1668" t="str">
        <f t="shared" si="52"/>
        <v>PSI</v>
      </c>
      <c r="I1668">
        <f t="shared" si="53"/>
        <v>14.674918303542567</v>
      </c>
    </row>
    <row r="1669" spans="1:9" x14ac:dyDescent="0.2">
      <c r="A1669">
        <v>486865</v>
      </c>
      <c r="B1669" t="s">
        <v>16</v>
      </c>
      <c r="C1669" t="s">
        <v>8</v>
      </c>
      <c r="D1669" t="s">
        <v>17</v>
      </c>
      <c r="E1669" t="s">
        <v>18</v>
      </c>
      <c r="F1669" t="s">
        <v>18</v>
      </c>
      <c r="G1669" t="s">
        <v>18</v>
      </c>
      <c r="H1669" t="e">
        <f t="shared" si="52"/>
        <v>#VALUE!</v>
      </c>
      <c r="I1669" t="str">
        <f t="shared" si="53"/>
        <v>-</v>
      </c>
    </row>
    <row r="1670" spans="1:9" x14ac:dyDescent="0.2">
      <c r="A1670">
        <v>487068</v>
      </c>
      <c r="B1670" t="s">
        <v>19</v>
      </c>
      <c r="C1670" t="s">
        <v>8</v>
      </c>
      <c r="D1670" t="s">
        <v>20</v>
      </c>
      <c r="E1670">
        <v>12929</v>
      </c>
      <c r="F1670">
        <v>1010.08</v>
      </c>
      <c r="G1670" t="s">
        <v>15</v>
      </c>
      <c r="H1670" t="str">
        <f t="shared" si="52"/>
        <v>PSI</v>
      </c>
      <c r="I1670">
        <f t="shared" si="53"/>
        <v>14.649971812652971</v>
      </c>
    </row>
    <row r="1671" spans="1:9" x14ac:dyDescent="0.2">
      <c r="A1671">
        <v>487280</v>
      </c>
      <c r="B1671" t="s">
        <v>21</v>
      </c>
      <c r="C1671" t="s">
        <v>8</v>
      </c>
      <c r="D1671" t="s">
        <v>22</v>
      </c>
      <c r="E1671">
        <v>4311</v>
      </c>
      <c r="F1671">
        <v>1077.75</v>
      </c>
      <c r="G1671" t="s">
        <v>23</v>
      </c>
      <c r="H1671" t="e">
        <f t="shared" si="52"/>
        <v>#VALUE!</v>
      </c>
      <c r="I1671" t="str">
        <f t="shared" si="53"/>
        <v>-</v>
      </c>
    </row>
    <row r="1672" spans="1:9" x14ac:dyDescent="0.2">
      <c r="A1672">
        <v>487472</v>
      </c>
      <c r="B1672" t="s">
        <v>24</v>
      </c>
      <c r="C1672" t="s">
        <v>8</v>
      </c>
      <c r="D1672" t="s">
        <v>25</v>
      </c>
      <c r="E1672">
        <v>3</v>
      </c>
      <c r="F1672">
        <v>3</v>
      </c>
      <c r="G1672" t="s">
        <v>26</v>
      </c>
      <c r="H1672" t="e">
        <f t="shared" si="52"/>
        <v>#VALUE!</v>
      </c>
      <c r="I1672" t="str">
        <f t="shared" si="53"/>
        <v>-</v>
      </c>
    </row>
    <row r="1673" spans="1:9" x14ac:dyDescent="0.2">
      <c r="A1673">
        <v>487684</v>
      </c>
      <c r="B1673" t="s">
        <v>27</v>
      </c>
      <c r="C1673" t="s">
        <v>8</v>
      </c>
      <c r="D1673" t="s">
        <v>28</v>
      </c>
      <c r="E1673">
        <v>603</v>
      </c>
      <c r="F1673">
        <v>14.16</v>
      </c>
      <c r="G1673" t="s">
        <v>29</v>
      </c>
      <c r="H1673" t="e">
        <f t="shared" si="52"/>
        <v>#VALUE!</v>
      </c>
      <c r="I1673" t="str">
        <f t="shared" si="53"/>
        <v>-</v>
      </c>
    </row>
    <row r="1674" spans="1:9" x14ac:dyDescent="0.2">
      <c r="A1674">
        <v>487906</v>
      </c>
      <c r="B1674" t="s">
        <v>30</v>
      </c>
      <c r="C1674" t="s">
        <v>8</v>
      </c>
      <c r="D1674" t="s">
        <v>31</v>
      </c>
      <c r="E1674">
        <v>3074</v>
      </c>
      <c r="F1674">
        <v>3074</v>
      </c>
      <c r="G1674" t="s">
        <v>15</v>
      </c>
      <c r="H1674" t="str">
        <f t="shared" si="52"/>
        <v>PSI</v>
      </c>
      <c r="I1674">
        <f t="shared" si="53"/>
        <v>44.584600578266311</v>
      </c>
    </row>
    <row r="1675" spans="1:9" x14ac:dyDescent="0.2">
      <c r="A1675">
        <v>488117</v>
      </c>
      <c r="B1675" t="s">
        <v>32</v>
      </c>
      <c r="C1675" t="s">
        <v>8</v>
      </c>
      <c r="D1675" t="s">
        <v>33</v>
      </c>
      <c r="E1675">
        <v>3693</v>
      </c>
      <c r="F1675">
        <v>0.9</v>
      </c>
      <c r="G1675" t="s">
        <v>26</v>
      </c>
      <c r="H1675" t="e">
        <f t="shared" si="52"/>
        <v>#VALUE!</v>
      </c>
      <c r="I1675" t="str">
        <f t="shared" si="53"/>
        <v>-</v>
      </c>
    </row>
    <row r="1676" spans="1:9" x14ac:dyDescent="0.2">
      <c r="A1676">
        <v>488319</v>
      </c>
      <c r="B1676" t="s">
        <v>34</v>
      </c>
      <c r="C1676" t="s">
        <v>8</v>
      </c>
      <c r="D1676" t="s">
        <v>35</v>
      </c>
      <c r="E1676">
        <v>3532</v>
      </c>
      <c r="F1676">
        <v>0.86</v>
      </c>
      <c r="G1676" t="s">
        <v>26</v>
      </c>
      <c r="H1676" t="e">
        <f t="shared" si="52"/>
        <v>#VALUE!</v>
      </c>
      <c r="I1676" t="str">
        <f t="shared" si="53"/>
        <v>-</v>
      </c>
    </row>
    <row r="1677" spans="1:9" x14ac:dyDescent="0.2">
      <c r="A1677">
        <v>488691</v>
      </c>
      <c r="B1677" t="s">
        <v>36</v>
      </c>
      <c r="C1677" t="s">
        <v>8</v>
      </c>
      <c r="D1677" t="s">
        <v>37</v>
      </c>
      <c r="E1677" t="s">
        <v>18</v>
      </c>
      <c r="F1677" t="s">
        <v>18</v>
      </c>
      <c r="G1677" t="s">
        <v>18</v>
      </c>
      <c r="H1677" t="e">
        <f t="shared" si="52"/>
        <v>#VALUE!</v>
      </c>
      <c r="I1677" t="str">
        <f t="shared" si="53"/>
        <v>-</v>
      </c>
    </row>
    <row r="1678" spans="1:9" x14ac:dyDescent="0.2">
      <c r="A1678">
        <v>489073</v>
      </c>
      <c r="B1678" t="s">
        <v>38</v>
      </c>
      <c r="C1678" t="s">
        <v>8</v>
      </c>
      <c r="D1678" t="s">
        <v>39</v>
      </c>
      <c r="E1678" t="s">
        <v>18</v>
      </c>
      <c r="F1678" t="s">
        <v>18</v>
      </c>
      <c r="G1678" t="s">
        <v>18</v>
      </c>
      <c r="H1678" t="e">
        <f t="shared" si="52"/>
        <v>#VALUE!</v>
      </c>
      <c r="I1678" t="str">
        <f t="shared" si="53"/>
        <v>-</v>
      </c>
    </row>
    <row r="1679" spans="1:9" x14ac:dyDescent="0.2">
      <c r="A1679">
        <v>489445</v>
      </c>
      <c r="B1679" t="s">
        <v>40</v>
      </c>
      <c r="C1679" t="s">
        <v>8</v>
      </c>
      <c r="D1679" t="s">
        <v>41</v>
      </c>
      <c r="E1679" t="s">
        <v>18</v>
      </c>
      <c r="F1679" t="s">
        <v>18</v>
      </c>
      <c r="G1679" t="s">
        <v>18</v>
      </c>
      <c r="H1679" t="e">
        <f t="shared" si="52"/>
        <v>#VALUE!</v>
      </c>
      <c r="I1679" t="str">
        <f t="shared" si="53"/>
        <v>-</v>
      </c>
    </row>
    <row r="1680" spans="1:9" x14ac:dyDescent="0.2">
      <c r="A1680">
        <v>489657</v>
      </c>
      <c r="B1680" t="s">
        <v>42</v>
      </c>
      <c r="C1680" t="s">
        <v>8</v>
      </c>
      <c r="D1680" t="s">
        <v>43</v>
      </c>
      <c r="E1680">
        <v>11744</v>
      </c>
      <c r="F1680">
        <v>5.87</v>
      </c>
      <c r="G1680" t="s">
        <v>44</v>
      </c>
      <c r="H1680" t="str">
        <f t="shared" si="52"/>
        <v>PSI</v>
      </c>
      <c r="I1680">
        <f t="shared" si="53"/>
        <v>851.3715204763281</v>
      </c>
    </row>
    <row r="1681" spans="1:9" x14ac:dyDescent="0.2">
      <c r="A1681">
        <v>489849</v>
      </c>
      <c r="B1681" t="s">
        <v>45</v>
      </c>
      <c r="C1681" t="s">
        <v>8</v>
      </c>
      <c r="D1681" t="s">
        <v>46</v>
      </c>
      <c r="E1681">
        <v>1</v>
      </c>
      <c r="F1681">
        <v>1</v>
      </c>
      <c r="G1681" t="s">
        <v>15</v>
      </c>
      <c r="H1681" t="str">
        <f t="shared" si="52"/>
        <v>PSI</v>
      </c>
      <c r="I1681">
        <f t="shared" si="53"/>
        <v>1.4503773773020921E-2</v>
      </c>
    </row>
    <row r="1682" spans="1:9" x14ac:dyDescent="0.2">
      <c r="A1682">
        <v>490061</v>
      </c>
      <c r="B1682" t="s">
        <v>47</v>
      </c>
      <c r="C1682" t="s">
        <v>8</v>
      </c>
      <c r="D1682" t="s">
        <v>48</v>
      </c>
      <c r="E1682">
        <v>4560</v>
      </c>
      <c r="F1682">
        <v>456</v>
      </c>
      <c r="G1682" t="s">
        <v>49</v>
      </c>
      <c r="H1682" t="e">
        <f t="shared" si="52"/>
        <v>#VALUE!</v>
      </c>
      <c r="I1682" t="str">
        <f t="shared" si="53"/>
        <v>-</v>
      </c>
    </row>
    <row r="1683" spans="1:9" x14ac:dyDescent="0.2">
      <c r="A1683">
        <v>490273</v>
      </c>
      <c r="B1683" t="s">
        <v>50</v>
      </c>
      <c r="C1683" t="s">
        <v>8</v>
      </c>
      <c r="D1683" t="s">
        <v>51</v>
      </c>
      <c r="E1683">
        <v>24570</v>
      </c>
      <c r="F1683">
        <v>959.77</v>
      </c>
      <c r="G1683" t="s">
        <v>15</v>
      </c>
      <c r="H1683" t="str">
        <f t="shared" si="52"/>
        <v>PSI</v>
      </c>
      <c r="I1683">
        <f t="shared" si="53"/>
        <v>13.920286954132289</v>
      </c>
    </row>
    <row r="1684" spans="1:9" x14ac:dyDescent="0.2">
      <c r="A1684">
        <v>490465</v>
      </c>
      <c r="B1684" t="s">
        <v>52</v>
      </c>
      <c r="C1684" t="s">
        <v>8</v>
      </c>
      <c r="D1684" t="s">
        <v>53</v>
      </c>
      <c r="E1684">
        <v>91</v>
      </c>
      <c r="F1684">
        <v>20.25</v>
      </c>
      <c r="G1684" t="s">
        <v>10</v>
      </c>
      <c r="H1684" t="e">
        <f t="shared" si="52"/>
        <v>#VALUE!</v>
      </c>
      <c r="I1684" t="str">
        <f t="shared" si="53"/>
        <v>-</v>
      </c>
    </row>
    <row r="1685" spans="1:9" x14ac:dyDescent="0.2">
      <c r="A1685">
        <v>490657</v>
      </c>
      <c r="B1685" t="s">
        <v>54</v>
      </c>
      <c r="C1685" t="s">
        <v>8</v>
      </c>
      <c r="D1685" t="s">
        <v>55</v>
      </c>
      <c r="E1685">
        <v>7</v>
      </c>
      <c r="F1685">
        <v>28</v>
      </c>
      <c r="G1685" t="s">
        <v>56</v>
      </c>
      <c r="H1685" t="e">
        <f t="shared" si="52"/>
        <v>#VALUE!</v>
      </c>
      <c r="I1685" t="str">
        <f t="shared" si="53"/>
        <v>-</v>
      </c>
    </row>
    <row r="1686" spans="1:9" x14ac:dyDescent="0.2">
      <c r="A1686">
        <v>491029</v>
      </c>
      <c r="B1686" t="s">
        <v>57</v>
      </c>
      <c r="C1686" t="s">
        <v>8</v>
      </c>
      <c r="D1686" t="s">
        <v>58</v>
      </c>
      <c r="E1686" t="s">
        <v>18</v>
      </c>
      <c r="F1686" t="s">
        <v>18</v>
      </c>
      <c r="G1686" t="s">
        <v>18</v>
      </c>
      <c r="H1686" t="e">
        <f t="shared" si="52"/>
        <v>#VALUE!</v>
      </c>
      <c r="I1686" t="str">
        <f t="shared" si="53"/>
        <v>-</v>
      </c>
    </row>
    <row r="1687" spans="1:9" x14ac:dyDescent="0.2">
      <c r="A1687">
        <v>491411</v>
      </c>
      <c r="B1687" t="s">
        <v>59</v>
      </c>
      <c r="C1687" t="s">
        <v>8</v>
      </c>
      <c r="D1687" t="s">
        <v>60</v>
      </c>
      <c r="E1687" t="s">
        <v>18</v>
      </c>
      <c r="F1687" t="s">
        <v>18</v>
      </c>
      <c r="G1687" t="s">
        <v>18</v>
      </c>
      <c r="H1687" t="e">
        <f t="shared" si="52"/>
        <v>#VALUE!</v>
      </c>
      <c r="I1687" t="str">
        <f t="shared" si="53"/>
        <v>-</v>
      </c>
    </row>
    <row r="1688" spans="1:9" x14ac:dyDescent="0.2">
      <c r="A1688">
        <v>491793</v>
      </c>
      <c r="B1688" t="s">
        <v>61</v>
      </c>
      <c r="C1688" t="s">
        <v>8</v>
      </c>
      <c r="D1688" t="s">
        <v>62</v>
      </c>
      <c r="E1688" t="s">
        <v>18</v>
      </c>
      <c r="F1688" t="s">
        <v>18</v>
      </c>
      <c r="G1688" t="s">
        <v>18</v>
      </c>
      <c r="H1688" t="e">
        <f t="shared" si="52"/>
        <v>#VALUE!</v>
      </c>
      <c r="I1688" t="str">
        <f t="shared" si="53"/>
        <v>-</v>
      </c>
    </row>
    <row r="1689" spans="1:9" x14ac:dyDescent="0.2">
      <c r="A1689">
        <v>492165</v>
      </c>
      <c r="B1689" t="s">
        <v>63</v>
      </c>
      <c r="C1689" t="s">
        <v>8</v>
      </c>
      <c r="D1689" t="s">
        <v>64</v>
      </c>
      <c r="E1689" t="s">
        <v>18</v>
      </c>
      <c r="F1689" t="s">
        <v>18</v>
      </c>
      <c r="G1689" t="s">
        <v>18</v>
      </c>
      <c r="H1689" t="e">
        <f t="shared" si="52"/>
        <v>#VALUE!</v>
      </c>
      <c r="I1689" t="str">
        <f t="shared" si="53"/>
        <v>-</v>
      </c>
    </row>
    <row r="1690" spans="1:9" x14ac:dyDescent="0.2">
      <c r="A1690">
        <v>492417</v>
      </c>
      <c r="B1690" t="s">
        <v>65</v>
      </c>
      <c r="C1690" t="s">
        <v>8</v>
      </c>
      <c r="D1690" t="s">
        <v>66</v>
      </c>
      <c r="E1690">
        <v>29551</v>
      </c>
      <c r="F1690">
        <v>3.61</v>
      </c>
      <c r="G1690" t="s">
        <v>67</v>
      </c>
      <c r="H1690" t="e">
        <f t="shared" si="52"/>
        <v>#VALUE!</v>
      </c>
      <c r="I1690" t="str">
        <f t="shared" si="53"/>
        <v>-</v>
      </c>
    </row>
    <row r="1691" spans="1:9" x14ac:dyDescent="0.2">
      <c r="A1691">
        <v>492789</v>
      </c>
      <c r="B1691" t="s">
        <v>68</v>
      </c>
      <c r="C1691" t="s">
        <v>8</v>
      </c>
      <c r="D1691" t="s">
        <v>69</v>
      </c>
      <c r="E1691" t="s">
        <v>18</v>
      </c>
      <c r="F1691" t="s">
        <v>18</v>
      </c>
      <c r="G1691" t="s">
        <v>18</v>
      </c>
      <c r="H1691" t="e">
        <f t="shared" si="52"/>
        <v>#VALUE!</v>
      </c>
      <c r="I1691" t="str">
        <f t="shared" si="53"/>
        <v>-</v>
      </c>
    </row>
    <row r="1692" spans="1:9" x14ac:dyDescent="0.2">
      <c r="A1692">
        <v>492991</v>
      </c>
      <c r="B1692" t="s">
        <v>7</v>
      </c>
      <c r="C1692" t="s">
        <v>8</v>
      </c>
      <c r="D1692" t="s">
        <v>9</v>
      </c>
      <c r="E1692">
        <v>165</v>
      </c>
      <c r="F1692">
        <v>105</v>
      </c>
      <c r="G1692" t="s">
        <v>10</v>
      </c>
      <c r="H1692" t="e">
        <f t="shared" si="52"/>
        <v>#VALUE!</v>
      </c>
      <c r="I1692" t="str">
        <f t="shared" si="53"/>
        <v>-</v>
      </c>
    </row>
    <row r="1693" spans="1:9" x14ac:dyDescent="0.2">
      <c r="A1693">
        <v>493183</v>
      </c>
      <c r="B1693" t="s">
        <v>11</v>
      </c>
      <c r="C1693" t="s">
        <v>8</v>
      </c>
      <c r="D1693" t="s">
        <v>12</v>
      </c>
      <c r="E1693">
        <v>204</v>
      </c>
      <c r="F1693">
        <v>105</v>
      </c>
      <c r="G1693" t="s">
        <v>10</v>
      </c>
      <c r="H1693" t="e">
        <f t="shared" si="52"/>
        <v>#VALUE!</v>
      </c>
      <c r="I1693" t="str">
        <f t="shared" si="53"/>
        <v>-</v>
      </c>
    </row>
    <row r="1694" spans="1:9" x14ac:dyDescent="0.2">
      <c r="A1694">
        <v>493395</v>
      </c>
      <c r="B1694" t="s">
        <v>13</v>
      </c>
      <c r="C1694" t="s">
        <v>8</v>
      </c>
      <c r="D1694" t="s">
        <v>14</v>
      </c>
      <c r="E1694">
        <v>25902</v>
      </c>
      <c r="F1694">
        <v>1011.8</v>
      </c>
      <c r="G1694" t="s">
        <v>15</v>
      </c>
      <c r="H1694" t="str">
        <f t="shared" si="52"/>
        <v>PSI</v>
      </c>
      <c r="I1694">
        <f t="shared" si="53"/>
        <v>14.674918303542567</v>
      </c>
    </row>
    <row r="1695" spans="1:9" x14ac:dyDescent="0.2">
      <c r="A1695">
        <v>493777</v>
      </c>
      <c r="B1695" t="s">
        <v>16</v>
      </c>
      <c r="C1695" t="s">
        <v>8</v>
      </c>
      <c r="D1695" t="s">
        <v>17</v>
      </c>
      <c r="E1695" t="s">
        <v>18</v>
      </c>
      <c r="F1695" t="s">
        <v>18</v>
      </c>
      <c r="G1695" t="s">
        <v>18</v>
      </c>
      <c r="H1695" t="e">
        <f t="shared" si="52"/>
        <v>#VALUE!</v>
      </c>
      <c r="I1695" t="str">
        <f t="shared" si="53"/>
        <v>-</v>
      </c>
    </row>
    <row r="1696" spans="1:9" x14ac:dyDescent="0.2">
      <c r="A1696">
        <v>493979</v>
      </c>
      <c r="B1696" t="s">
        <v>19</v>
      </c>
      <c r="C1696" t="s">
        <v>8</v>
      </c>
      <c r="D1696" t="s">
        <v>20</v>
      </c>
      <c r="E1696">
        <v>13054</v>
      </c>
      <c r="F1696">
        <v>1019.84</v>
      </c>
      <c r="G1696" t="s">
        <v>15</v>
      </c>
      <c r="H1696" t="str">
        <f t="shared" si="52"/>
        <v>PSI</v>
      </c>
      <c r="I1696">
        <f t="shared" si="53"/>
        <v>14.791528644677657</v>
      </c>
    </row>
    <row r="1697" spans="1:9" x14ac:dyDescent="0.2">
      <c r="A1697">
        <v>494191</v>
      </c>
      <c r="B1697" t="s">
        <v>21</v>
      </c>
      <c r="C1697" t="s">
        <v>8</v>
      </c>
      <c r="D1697" t="s">
        <v>22</v>
      </c>
      <c r="E1697">
        <v>6703</v>
      </c>
      <c r="F1697">
        <v>1675.75</v>
      </c>
      <c r="G1697" t="s">
        <v>23</v>
      </c>
      <c r="H1697" t="e">
        <f t="shared" si="52"/>
        <v>#VALUE!</v>
      </c>
      <c r="I1697" t="str">
        <f t="shared" si="53"/>
        <v>-</v>
      </c>
    </row>
    <row r="1698" spans="1:9" x14ac:dyDescent="0.2">
      <c r="A1698">
        <v>494383</v>
      </c>
      <c r="B1698" t="s">
        <v>24</v>
      </c>
      <c r="C1698" t="s">
        <v>8</v>
      </c>
      <c r="D1698" t="s">
        <v>25</v>
      </c>
      <c r="E1698">
        <v>3</v>
      </c>
      <c r="F1698">
        <v>3</v>
      </c>
      <c r="G1698" t="s">
        <v>26</v>
      </c>
      <c r="H1698" t="e">
        <f t="shared" si="52"/>
        <v>#VALUE!</v>
      </c>
      <c r="I1698" t="str">
        <f t="shared" si="53"/>
        <v>-</v>
      </c>
    </row>
    <row r="1699" spans="1:9" x14ac:dyDescent="0.2">
      <c r="A1699">
        <v>494596</v>
      </c>
      <c r="B1699" t="s">
        <v>27</v>
      </c>
      <c r="C1699" t="s">
        <v>8</v>
      </c>
      <c r="D1699" t="s">
        <v>28</v>
      </c>
      <c r="E1699">
        <v>602</v>
      </c>
      <c r="F1699">
        <v>14.14</v>
      </c>
      <c r="G1699" t="s">
        <v>29</v>
      </c>
      <c r="H1699" t="e">
        <f t="shared" si="52"/>
        <v>#VALUE!</v>
      </c>
      <c r="I1699" t="str">
        <f t="shared" si="53"/>
        <v>-</v>
      </c>
    </row>
    <row r="1700" spans="1:9" x14ac:dyDescent="0.2">
      <c r="A1700">
        <v>494808</v>
      </c>
      <c r="B1700" t="s">
        <v>30</v>
      </c>
      <c r="C1700" t="s">
        <v>8</v>
      </c>
      <c r="D1700" t="s">
        <v>31</v>
      </c>
      <c r="E1700">
        <v>2679</v>
      </c>
      <c r="F1700">
        <v>2679</v>
      </c>
      <c r="G1700" t="s">
        <v>15</v>
      </c>
      <c r="H1700" t="str">
        <f t="shared" si="52"/>
        <v>PSI</v>
      </c>
      <c r="I1700">
        <f t="shared" si="53"/>
        <v>38.855609937923049</v>
      </c>
    </row>
    <row r="1701" spans="1:9" x14ac:dyDescent="0.2">
      <c r="A1701">
        <v>495020</v>
      </c>
      <c r="B1701" t="s">
        <v>32</v>
      </c>
      <c r="C1701" t="s">
        <v>8</v>
      </c>
      <c r="D1701" t="s">
        <v>33</v>
      </c>
      <c r="E1701">
        <v>4068</v>
      </c>
      <c r="F1701">
        <v>0.99</v>
      </c>
      <c r="G1701" t="s">
        <v>26</v>
      </c>
      <c r="H1701" t="e">
        <f t="shared" si="52"/>
        <v>#VALUE!</v>
      </c>
      <c r="I1701" t="str">
        <f t="shared" si="53"/>
        <v>-</v>
      </c>
    </row>
    <row r="1702" spans="1:9" x14ac:dyDescent="0.2">
      <c r="A1702">
        <v>495232</v>
      </c>
      <c r="B1702" t="s">
        <v>34</v>
      </c>
      <c r="C1702" t="s">
        <v>8</v>
      </c>
      <c r="D1702" t="s">
        <v>35</v>
      </c>
      <c r="E1702">
        <v>4009</v>
      </c>
      <c r="F1702">
        <v>0.98</v>
      </c>
      <c r="G1702" t="s">
        <v>26</v>
      </c>
      <c r="H1702" t="e">
        <f t="shared" si="52"/>
        <v>#VALUE!</v>
      </c>
      <c r="I1702" t="str">
        <f t="shared" si="53"/>
        <v>-</v>
      </c>
    </row>
    <row r="1703" spans="1:9" x14ac:dyDescent="0.2">
      <c r="A1703">
        <v>495604</v>
      </c>
      <c r="B1703" t="s">
        <v>36</v>
      </c>
      <c r="C1703" t="s">
        <v>8</v>
      </c>
      <c r="D1703" t="s">
        <v>37</v>
      </c>
      <c r="E1703" t="s">
        <v>18</v>
      </c>
      <c r="F1703" t="s">
        <v>18</v>
      </c>
      <c r="G1703" t="s">
        <v>18</v>
      </c>
      <c r="H1703" t="e">
        <f t="shared" si="52"/>
        <v>#VALUE!</v>
      </c>
      <c r="I1703" t="str">
        <f t="shared" si="53"/>
        <v>-</v>
      </c>
    </row>
    <row r="1704" spans="1:9" x14ac:dyDescent="0.2">
      <c r="A1704">
        <v>495976</v>
      </c>
      <c r="B1704" t="s">
        <v>38</v>
      </c>
      <c r="C1704" t="s">
        <v>8</v>
      </c>
      <c r="D1704" t="s">
        <v>39</v>
      </c>
      <c r="E1704" t="s">
        <v>18</v>
      </c>
      <c r="F1704" t="s">
        <v>18</v>
      </c>
      <c r="G1704" t="s">
        <v>18</v>
      </c>
      <c r="H1704" t="e">
        <f t="shared" si="52"/>
        <v>#VALUE!</v>
      </c>
      <c r="I1704" t="str">
        <f t="shared" si="53"/>
        <v>-</v>
      </c>
    </row>
    <row r="1705" spans="1:9" x14ac:dyDescent="0.2">
      <c r="A1705">
        <v>496358</v>
      </c>
      <c r="B1705" t="s">
        <v>40</v>
      </c>
      <c r="C1705" t="s">
        <v>8</v>
      </c>
      <c r="D1705" t="s">
        <v>41</v>
      </c>
      <c r="E1705" t="s">
        <v>18</v>
      </c>
      <c r="F1705" t="s">
        <v>18</v>
      </c>
      <c r="G1705" t="s">
        <v>18</v>
      </c>
      <c r="H1705" t="e">
        <f t="shared" si="52"/>
        <v>#VALUE!</v>
      </c>
      <c r="I1705" t="str">
        <f t="shared" si="53"/>
        <v>-</v>
      </c>
    </row>
    <row r="1706" spans="1:9" x14ac:dyDescent="0.2">
      <c r="A1706">
        <v>496580</v>
      </c>
      <c r="B1706" t="s">
        <v>42</v>
      </c>
      <c r="C1706" t="s">
        <v>8</v>
      </c>
      <c r="D1706" t="s">
        <v>43</v>
      </c>
      <c r="E1706">
        <v>15044</v>
      </c>
      <c r="F1706">
        <v>7.52</v>
      </c>
      <c r="G1706" t="s">
        <v>44</v>
      </c>
      <c r="H1706" t="str">
        <f t="shared" si="52"/>
        <v>PSI</v>
      </c>
      <c r="I1706">
        <f t="shared" si="53"/>
        <v>1090.6837877311732</v>
      </c>
    </row>
    <row r="1707" spans="1:9" x14ac:dyDescent="0.2">
      <c r="A1707">
        <v>496772</v>
      </c>
      <c r="B1707" t="s">
        <v>45</v>
      </c>
      <c r="C1707" t="s">
        <v>8</v>
      </c>
      <c r="D1707" t="s">
        <v>46</v>
      </c>
      <c r="E1707">
        <v>1</v>
      </c>
      <c r="F1707">
        <v>1</v>
      </c>
      <c r="G1707" t="s">
        <v>15</v>
      </c>
      <c r="H1707" t="str">
        <f t="shared" si="52"/>
        <v>PSI</v>
      </c>
      <c r="I1707">
        <f t="shared" si="53"/>
        <v>1.4503773773020921E-2</v>
      </c>
    </row>
    <row r="1708" spans="1:9" x14ac:dyDescent="0.2">
      <c r="A1708">
        <v>496984</v>
      </c>
      <c r="B1708" t="s">
        <v>47</v>
      </c>
      <c r="C1708" t="s">
        <v>8</v>
      </c>
      <c r="D1708" t="s">
        <v>48</v>
      </c>
      <c r="E1708">
        <v>4629</v>
      </c>
      <c r="F1708">
        <v>462.9</v>
      </c>
      <c r="G1708" t="s">
        <v>49</v>
      </c>
      <c r="H1708" t="e">
        <f t="shared" si="52"/>
        <v>#VALUE!</v>
      </c>
      <c r="I1708" t="str">
        <f t="shared" si="53"/>
        <v>-</v>
      </c>
    </row>
    <row r="1709" spans="1:9" x14ac:dyDescent="0.2">
      <c r="A1709">
        <v>497196</v>
      </c>
      <c r="B1709" t="s">
        <v>50</v>
      </c>
      <c r="C1709" t="s">
        <v>8</v>
      </c>
      <c r="D1709" t="s">
        <v>51</v>
      </c>
      <c r="E1709">
        <v>24506</v>
      </c>
      <c r="F1709">
        <v>957.27</v>
      </c>
      <c r="G1709" t="s">
        <v>15</v>
      </c>
      <c r="H1709" t="str">
        <f t="shared" si="52"/>
        <v>PSI</v>
      </c>
      <c r="I1709">
        <f t="shared" si="53"/>
        <v>13.884027519699737</v>
      </c>
    </row>
    <row r="1710" spans="1:9" x14ac:dyDescent="0.2">
      <c r="A1710">
        <v>497378</v>
      </c>
      <c r="B1710" t="s">
        <v>52</v>
      </c>
      <c r="C1710" t="s">
        <v>8</v>
      </c>
      <c r="D1710" t="s">
        <v>53</v>
      </c>
      <c r="E1710">
        <v>91</v>
      </c>
      <c r="F1710">
        <v>20.25</v>
      </c>
      <c r="G1710" t="s">
        <v>10</v>
      </c>
      <c r="H1710" t="e">
        <f t="shared" si="52"/>
        <v>#VALUE!</v>
      </c>
      <c r="I1710" t="str">
        <f t="shared" si="53"/>
        <v>-</v>
      </c>
    </row>
    <row r="1711" spans="1:9" x14ac:dyDescent="0.2">
      <c r="A1711">
        <v>497570</v>
      </c>
      <c r="B1711" t="s">
        <v>54</v>
      </c>
      <c r="C1711" t="s">
        <v>8</v>
      </c>
      <c r="D1711" t="s">
        <v>55</v>
      </c>
      <c r="E1711">
        <v>9</v>
      </c>
      <c r="F1711">
        <v>36</v>
      </c>
      <c r="G1711" t="s">
        <v>56</v>
      </c>
      <c r="H1711" t="e">
        <f t="shared" si="52"/>
        <v>#VALUE!</v>
      </c>
      <c r="I1711" t="str">
        <f t="shared" si="53"/>
        <v>-</v>
      </c>
    </row>
    <row r="1712" spans="1:9" x14ac:dyDescent="0.2">
      <c r="A1712">
        <v>497942</v>
      </c>
      <c r="B1712" t="s">
        <v>57</v>
      </c>
      <c r="C1712" t="s">
        <v>8</v>
      </c>
      <c r="D1712" t="s">
        <v>58</v>
      </c>
      <c r="E1712" t="s">
        <v>18</v>
      </c>
      <c r="F1712" t="s">
        <v>18</v>
      </c>
      <c r="G1712" t="s">
        <v>18</v>
      </c>
      <c r="H1712" t="e">
        <f t="shared" si="52"/>
        <v>#VALUE!</v>
      </c>
      <c r="I1712" t="str">
        <f t="shared" si="53"/>
        <v>-</v>
      </c>
    </row>
    <row r="1713" spans="1:9" x14ac:dyDescent="0.2">
      <c r="A1713">
        <v>498324</v>
      </c>
      <c r="B1713" t="s">
        <v>59</v>
      </c>
      <c r="C1713" t="s">
        <v>8</v>
      </c>
      <c r="D1713" t="s">
        <v>60</v>
      </c>
      <c r="E1713" t="s">
        <v>18</v>
      </c>
      <c r="F1713" t="s">
        <v>18</v>
      </c>
      <c r="G1713" t="s">
        <v>18</v>
      </c>
      <c r="H1713" t="e">
        <f t="shared" si="52"/>
        <v>#VALUE!</v>
      </c>
      <c r="I1713" t="str">
        <f t="shared" si="53"/>
        <v>-</v>
      </c>
    </row>
    <row r="1714" spans="1:9" x14ac:dyDescent="0.2">
      <c r="A1714">
        <v>498706</v>
      </c>
      <c r="B1714" t="s">
        <v>61</v>
      </c>
      <c r="C1714" t="s">
        <v>8</v>
      </c>
      <c r="D1714" t="s">
        <v>62</v>
      </c>
      <c r="E1714" t="s">
        <v>18</v>
      </c>
      <c r="F1714" t="s">
        <v>18</v>
      </c>
      <c r="G1714" t="s">
        <v>18</v>
      </c>
      <c r="H1714" t="e">
        <f t="shared" si="52"/>
        <v>#VALUE!</v>
      </c>
      <c r="I1714" t="str">
        <f t="shared" si="53"/>
        <v>-</v>
      </c>
    </row>
    <row r="1715" spans="1:9" x14ac:dyDescent="0.2">
      <c r="A1715">
        <v>499088</v>
      </c>
      <c r="B1715" t="s">
        <v>63</v>
      </c>
      <c r="C1715" t="s">
        <v>8</v>
      </c>
      <c r="D1715" t="s">
        <v>64</v>
      </c>
      <c r="E1715" t="s">
        <v>18</v>
      </c>
      <c r="F1715" t="s">
        <v>18</v>
      </c>
      <c r="G1715" t="s">
        <v>18</v>
      </c>
      <c r="H1715" t="e">
        <f t="shared" si="52"/>
        <v>#VALUE!</v>
      </c>
      <c r="I1715" t="str">
        <f t="shared" si="53"/>
        <v>-</v>
      </c>
    </row>
    <row r="1716" spans="1:9" x14ac:dyDescent="0.2">
      <c r="A1716">
        <v>499350</v>
      </c>
      <c r="B1716" t="s">
        <v>65</v>
      </c>
      <c r="C1716" t="s">
        <v>8</v>
      </c>
      <c r="D1716" t="s">
        <v>66</v>
      </c>
      <c r="E1716">
        <v>29597</v>
      </c>
      <c r="F1716">
        <v>3.61</v>
      </c>
      <c r="G1716" t="s">
        <v>67</v>
      </c>
      <c r="H1716" t="e">
        <f t="shared" si="52"/>
        <v>#VALUE!</v>
      </c>
      <c r="I1716" t="str">
        <f t="shared" si="53"/>
        <v>-</v>
      </c>
    </row>
    <row r="1717" spans="1:9" x14ac:dyDescent="0.2">
      <c r="A1717">
        <v>499723</v>
      </c>
      <c r="B1717" t="s">
        <v>68</v>
      </c>
      <c r="C1717" t="s">
        <v>8</v>
      </c>
      <c r="D1717" t="s">
        <v>69</v>
      </c>
      <c r="E1717" t="s">
        <v>18</v>
      </c>
      <c r="F1717" t="s">
        <v>18</v>
      </c>
      <c r="G1717" t="s">
        <v>18</v>
      </c>
      <c r="H1717" t="e">
        <f t="shared" si="52"/>
        <v>#VALUE!</v>
      </c>
      <c r="I1717" t="str">
        <f t="shared" si="53"/>
        <v>-</v>
      </c>
    </row>
    <row r="1718" spans="1:9" x14ac:dyDescent="0.2">
      <c r="A1718">
        <v>499935</v>
      </c>
      <c r="B1718" t="s">
        <v>7</v>
      </c>
      <c r="C1718" t="s">
        <v>8</v>
      </c>
      <c r="D1718" t="s">
        <v>9</v>
      </c>
      <c r="E1718">
        <v>165</v>
      </c>
      <c r="F1718">
        <v>105</v>
      </c>
      <c r="G1718" t="s">
        <v>10</v>
      </c>
      <c r="H1718" t="e">
        <f t="shared" si="52"/>
        <v>#VALUE!</v>
      </c>
      <c r="I1718" t="str">
        <f t="shared" si="53"/>
        <v>-</v>
      </c>
    </row>
    <row r="1719" spans="1:9" x14ac:dyDescent="0.2">
      <c r="A1719">
        <v>500117</v>
      </c>
      <c r="B1719" t="s">
        <v>11</v>
      </c>
      <c r="C1719" t="s">
        <v>8</v>
      </c>
      <c r="D1719" t="s">
        <v>12</v>
      </c>
      <c r="E1719">
        <v>205</v>
      </c>
      <c r="F1719">
        <v>105.75</v>
      </c>
      <c r="G1719" t="s">
        <v>10</v>
      </c>
      <c r="H1719" t="e">
        <f t="shared" si="52"/>
        <v>#VALUE!</v>
      </c>
      <c r="I1719" t="str">
        <f t="shared" si="53"/>
        <v>-</v>
      </c>
    </row>
    <row r="1720" spans="1:9" x14ac:dyDescent="0.2">
      <c r="A1720">
        <v>500319</v>
      </c>
      <c r="B1720" t="s">
        <v>13</v>
      </c>
      <c r="C1720" t="s">
        <v>8</v>
      </c>
      <c r="D1720" t="s">
        <v>14</v>
      </c>
      <c r="E1720">
        <v>25902</v>
      </c>
      <c r="F1720">
        <v>1011.8</v>
      </c>
      <c r="G1720" t="s">
        <v>15</v>
      </c>
      <c r="H1720" t="str">
        <f t="shared" si="52"/>
        <v>PSI</v>
      </c>
      <c r="I1720">
        <f t="shared" si="53"/>
        <v>14.674918303542567</v>
      </c>
    </row>
    <row r="1721" spans="1:9" x14ac:dyDescent="0.2">
      <c r="A1721">
        <v>500701</v>
      </c>
      <c r="B1721" t="s">
        <v>16</v>
      </c>
      <c r="C1721" t="s">
        <v>8</v>
      </c>
      <c r="D1721" t="s">
        <v>17</v>
      </c>
      <c r="E1721" t="s">
        <v>18</v>
      </c>
      <c r="F1721" t="s">
        <v>18</v>
      </c>
      <c r="G1721" t="s">
        <v>18</v>
      </c>
      <c r="H1721" t="e">
        <f t="shared" si="52"/>
        <v>#VALUE!</v>
      </c>
      <c r="I1721" t="str">
        <f t="shared" si="53"/>
        <v>-</v>
      </c>
    </row>
    <row r="1722" spans="1:9" x14ac:dyDescent="0.2">
      <c r="A1722">
        <v>500913</v>
      </c>
      <c r="B1722" t="s">
        <v>19</v>
      </c>
      <c r="C1722" t="s">
        <v>8</v>
      </c>
      <c r="D1722" t="s">
        <v>20</v>
      </c>
      <c r="E1722">
        <v>13093</v>
      </c>
      <c r="F1722">
        <v>1022.89</v>
      </c>
      <c r="G1722" t="s">
        <v>15</v>
      </c>
      <c r="H1722" t="str">
        <f t="shared" si="52"/>
        <v>PSI</v>
      </c>
      <c r="I1722">
        <f t="shared" si="53"/>
        <v>14.835765154685369</v>
      </c>
    </row>
    <row r="1723" spans="1:9" x14ac:dyDescent="0.2">
      <c r="A1723">
        <v>501125</v>
      </c>
      <c r="B1723" t="s">
        <v>21</v>
      </c>
      <c r="C1723" t="s">
        <v>8</v>
      </c>
      <c r="D1723" t="s">
        <v>22</v>
      </c>
      <c r="E1723">
        <v>5711</v>
      </c>
      <c r="F1723">
        <v>1427.75</v>
      </c>
      <c r="G1723" t="s">
        <v>23</v>
      </c>
      <c r="H1723" t="e">
        <f t="shared" si="52"/>
        <v>#VALUE!</v>
      </c>
      <c r="I1723" t="str">
        <f t="shared" si="53"/>
        <v>-</v>
      </c>
    </row>
    <row r="1724" spans="1:9" x14ac:dyDescent="0.2">
      <c r="A1724">
        <v>501317</v>
      </c>
      <c r="B1724" t="s">
        <v>24</v>
      </c>
      <c r="C1724" t="s">
        <v>8</v>
      </c>
      <c r="D1724" t="s">
        <v>25</v>
      </c>
      <c r="E1724">
        <v>3</v>
      </c>
      <c r="F1724">
        <v>3</v>
      </c>
      <c r="G1724" t="s">
        <v>26</v>
      </c>
      <c r="H1724" t="e">
        <f t="shared" si="52"/>
        <v>#VALUE!</v>
      </c>
      <c r="I1724" t="str">
        <f t="shared" si="53"/>
        <v>-</v>
      </c>
    </row>
    <row r="1725" spans="1:9" x14ac:dyDescent="0.2">
      <c r="A1725">
        <v>501520</v>
      </c>
      <c r="B1725" t="s">
        <v>27</v>
      </c>
      <c r="C1725" t="s">
        <v>8</v>
      </c>
      <c r="D1725" t="s">
        <v>28</v>
      </c>
      <c r="E1725">
        <v>602</v>
      </c>
      <c r="F1725">
        <v>14.14</v>
      </c>
      <c r="G1725" t="s">
        <v>29</v>
      </c>
      <c r="H1725" t="e">
        <f t="shared" si="52"/>
        <v>#VALUE!</v>
      </c>
      <c r="I1725" t="str">
        <f t="shared" si="53"/>
        <v>-</v>
      </c>
    </row>
    <row r="1726" spans="1:9" x14ac:dyDescent="0.2">
      <c r="A1726">
        <v>501732</v>
      </c>
      <c r="B1726" t="s">
        <v>30</v>
      </c>
      <c r="C1726" t="s">
        <v>8</v>
      </c>
      <c r="D1726" t="s">
        <v>31</v>
      </c>
      <c r="E1726">
        <v>2622</v>
      </c>
      <c r="F1726">
        <v>2622</v>
      </c>
      <c r="G1726" t="s">
        <v>15</v>
      </c>
      <c r="H1726" t="str">
        <f t="shared" si="52"/>
        <v>PSI</v>
      </c>
      <c r="I1726">
        <f t="shared" si="53"/>
        <v>38.028894832860857</v>
      </c>
    </row>
    <row r="1727" spans="1:9" x14ac:dyDescent="0.2">
      <c r="A1727">
        <v>501944</v>
      </c>
      <c r="B1727" t="s">
        <v>32</v>
      </c>
      <c r="C1727" t="s">
        <v>8</v>
      </c>
      <c r="D1727" t="s">
        <v>33</v>
      </c>
      <c r="E1727">
        <v>17</v>
      </c>
      <c r="F1727">
        <v>0</v>
      </c>
      <c r="G1727" t="s">
        <v>26</v>
      </c>
      <c r="H1727" t="e">
        <f t="shared" si="52"/>
        <v>#VALUE!</v>
      </c>
      <c r="I1727" t="str">
        <f t="shared" si="53"/>
        <v>-</v>
      </c>
    </row>
    <row r="1728" spans="1:9" x14ac:dyDescent="0.2">
      <c r="A1728">
        <v>502157</v>
      </c>
      <c r="B1728" t="s">
        <v>34</v>
      </c>
      <c r="C1728" t="s">
        <v>8</v>
      </c>
      <c r="D1728" t="s">
        <v>35</v>
      </c>
      <c r="E1728">
        <v>4094</v>
      </c>
      <c r="F1728">
        <v>1</v>
      </c>
      <c r="G1728" t="s">
        <v>26</v>
      </c>
      <c r="H1728" t="e">
        <f t="shared" si="52"/>
        <v>#VALUE!</v>
      </c>
      <c r="I1728" t="str">
        <f t="shared" si="53"/>
        <v>-</v>
      </c>
    </row>
    <row r="1729" spans="1:9" x14ac:dyDescent="0.2">
      <c r="A1729">
        <v>502529</v>
      </c>
      <c r="B1729" t="s">
        <v>36</v>
      </c>
      <c r="C1729" t="s">
        <v>8</v>
      </c>
      <c r="D1729" t="s">
        <v>37</v>
      </c>
      <c r="E1729" t="s">
        <v>18</v>
      </c>
      <c r="F1729" t="s">
        <v>18</v>
      </c>
      <c r="G1729" t="s">
        <v>18</v>
      </c>
      <c r="H1729" t="e">
        <f t="shared" si="52"/>
        <v>#VALUE!</v>
      </c>
      <c r="I1729" t="str">
        <f t="shared" si="53"/>
        <v>-</v>
      </c>
    </row>
    <row r="1730" spans="1:9" x14ac:dyDescent="0.2">
      <c r="A1730">
        <v>502911</v>
      </c>
      <c r="B1730" t="s">
        <v>38</v>
      </c>
      <c r="C1730" t="s">
        <v>8</v>
      </c>
      <c r="D1730" t="s">
        <v>39</v>
      </c>
      <c r="E1730" t="s">
        <v>18</v>
      </c>
      <c r="F1730" t="s">
        <v>18</v>
      </c>
      <c r="G1730" t="s">
        <v>18</v>
      </c>
      <c r="H1730" t="e">
        <f t="shared" si="52"/>
        <v>#VALUE!</v>
      </c>
      <c r="I1730" t="str">
        <f t="shared" si="53"/>
        <v>-</v>
      </c>
    </row>
    <row r="1731" spans="1:9" x14ac:dyDescent="0.2">
      <c r="A1731">
        <v>503293</v>
      </c>
      <c r="B1731" t="s">
        <v>40</v>
      </c>
      <c r="C1731" t="s">
        <v>8</v>
      </c>
      <c r="D1731" t="s">
        <v>41</v>
      </c>
      <c r="E1731" t="s">
        <v>18</v>
      </c>
      <c r="F1731" t="s">
        <v>18</v>
      </c>
      <c r="G1731" t="s">
        <v>18</v>
      </c>
      <c r="H1731" t="e">
        <f t="shared" ref="H1731:H1794" si="54">IF(FIND("Pa",G1731,1),"PSI","-")</f>
        <v>#VALUE!</v>
      </c>
      <c r="I1731" t="str">
        <f t="shared" ref="I1731:I1794" si="55">IF(G1731="hPa",CONVERT(F1731*100,"Pa","psi"), IF(G1731="MPa",CONVERT(F1731*1000000,"Pa","psi"),"-"))</f>
        <v>-</v>
      </c>
    </row>
    <row r="1732" spans="1:9" x14ac:dyDescent="0.2">
      <c r="A1732">
        <v>503505</v>
      </c>
      <c r="B1732" t="s">
        <v>42</v>
      </c>
      <c r="C1732" t="s">
        <v>8</v>
      </c>
      <c r="D1732" t="s">
        <v>43</v>
      </c>
      <c r="E1732">
        <v>9539</v>
      </c>
      <c r="F1732">
        <v>4.7699999999999996</v>
      </c>
      <c r="G1732" t="s">
        <v>44</v>
      </c>
      <c r="H1732" t="str">
        <f t="shared" si="54"/>
        <v>PSI</v>
      </c>
      <c r="I1732">
        <f t="shared" si="55"/>
        <v>691.83000897309796</v>
      </c>
    </row>
    <row r="1733" spans="1:9" x14ac:dyDescent="0.2">
      <c r="A1733">
        <v>503698</v>
      </c>
      <c r="B1733" t="s">
        <v>45</v>
      </c>
      <c r="C1733" t="s">
        <v>8</v>
      </c>
      <c r="D1733" t="s">
        <v>46</v>
      </c>
      <c r="E1733">
        <v>1</v>
      </c>
      <c r="F1733">
        <v>1</v>
      </c>
      <c r="G1733" t="s">
        <v>15</v>
      </c>
      <c r="H1733" t="str">
        <f t="shared" si="54"/>
        <v>PSI</v>
      </c>
      <c r="I1733">
        <f t="shared" si="55"/>
        <v>1.4503773773020921E-2</v>
      </c>
    </row>
    <row r="1734" spans="1:9" x14ac:dyDescent="0.2">
      <c r="A1734">
        <v>503910</v>
      </c>
      <c r="B1734" t="s">
        <v>47</v>
      </c>
      <c r="C1734" t="s">
        <v>8</v>
      </c>
      <c r="D1734" t="s">
        <v>48</v>
      </c>
      <c r="E1734">
        <v>4698</v>
      </c>
      <c r="F1734">
        <v>469.8</v>
      </c>
      <c r="G1734" t="s">
        <v>49</v>
      </c>
      <c r="H1734" t="e">
        <f t="shared" si="54"/>
        <v>#VALUE!</v>
      </c>
      <c r="I1734" t="str">
        <f t="shared" si="55"/>
        <v>-</v>
      </c>
    </row>
    <row r="1735" spans="1:9" x14ac:dyDescent="0.2">
      <c r="A1735">
        <v>504122</v>
      </c>
      <c r="B1735" t="s">
        <v>50</v>
      </c>
      <c r="C1735" t="s">
        <v>8</v>
      </c>
      <c r="D1735" t="s">
        <v>51</v>
      </c>
      <c r="E1735">
        <v>24263</v>
      </c>
      <c r="F1735">
        <v>947.77</v>
      </c>
      <c r="G1735" t="s">
        <v>15</v>
      </c>
      <c r="H1735" t="str">
        <f t="shared" si="54"/>
        <v>PSI</v>
      </c>
      <c r="I1735">
        <f t="shared" si="55"/>
        <v>13.746241668856038</v>
      </c>
    </row>
    <row r="1736" spans="1:9" x14ac:dyDescent="0.2">
      <c r="A1736">
        <v>504314</v>
      </c>
      <c r="B1736" t="s">
        <v>52</v>
      </c>
      <c r="C1736" t="s">
        <v>8</v>
      </c>
      <c r="D1736" t="s">
        <v>53</v>
      </c>
      <c r="E1736">
        <v>91</v>
      </c>
      <c r="F1736">
        <v>20.25</v>
      </c>
      <c r="G1736" t="s">
        <v>10</v>
      </c>
      <c r="H1736" t="e">
        <f t="shared" si="54"/>
        <v>#VALUE!</v>
      </c>
      <c r="I1736" t="str">
        <f t="shared" si="55"/>
        <v>-</v>
      </c>
    </row>
    <row r="1737" spans="1:9" x14ac:dyDescent="0.2">
      <c r="A1737">
        <v>504508</v>
      </c>
      <c r="B1737" t="s">
        <v>54</v>
      </c>
      <c r="C1737" t="s">
        <v>8</v>
      </c>
      <c r="D1737" t="s">
        <v>55</v>
      </c>
      <c r="E1737">
        <v>3</v>
      </c>
      <c r="F1737">
        <v>12</v>
      </c>
      <c r="G1737" t="s">
        <v>56</v>
      </c>
      <c r="H1737" t="e">
        <f t="shared" si="54"/>
        <v>#VALUE!</v>
      </c>
      <c r="I1737" t="str">
        <f t="shared" si="55"/>
        <v>-</v>
      </c>
    </row>
    <row r="1738" spans="1:9" x14ac:dyDescent="0.2">
      <c r="A1738">
        <v>504880</v>
      </c>
      <c r="B1738" t="s">
        <v>57</v>
      </c>
      <c r="C1738" t="s">
        <v>8</v>
      </c>
      <c r="D1738" t="s">
        <v>58</v>
      </c>
      <c r="E1738" t="s">
        <v>18</v>
      </c>
      <c r="F1738" t="s">
        <v>18</v>
      </c>
      <c r="G1738" t="s">
        <v>18</v>
      </c>
      <c r="H1738" t="e">
        <f t="shared" si="54"/>
        <v>#VALUE!</v>
      </c>
      <c r="I1738" t="str">
        <f t="shared" si="55"/>
        <v>-</v>
      </c>
    </row>
    <row r="1739" spans="1:9" x14ac:dyDescent="0.2">
      <c r="A1739">
        <v>505252</v>
      </c>
      <c r="B1739" t="s">
        <v>59</v>
      </c>
      <c r="C1739" t="s">
        <v>8</v>
      </c>
      <c r="D1739" t="s">
        <v>60</v>
      </c>
      <c r="E1739" t="s">
        <v>18</v>
      </c>
      <c r="F1739" t="s">
        <v>18</v>
      </c>
      <c r="G1739" t="s">
        <v>18</v>
      </c>
      <c r="H1739" t="e">
        <f t="shared" si="54"/>
        <v>#VALUE!</v>
      </c>
      <c r="I1739" t="str">
        <f t="shared" si="55"/>
        <v>-</v>
      </c>
    </row>
    <row r="1740" spans="1:9" x14ac:dyDescent="0.2">
      <c r="A1740">
        <v>505634</v>
      </c>
      <c r="B1740" t="s">
        <v>61</v>
      </c>
      <c r="C1740" t="s">
        <v>8</v>
      </c>
      <c r="D1740" t="s">
        <v>62</v>
      </c>
      <c r="E1740" t="s">
        <v>18</v>
      </c>
      <c r="F1740" t="s">
        <v>18</v>
      </c>
      <c r="G1740" t="s">
        <v>18</v>
      </c>
      <c r="H1740" t="e">
        <f t="shared" si="54"/>
        <v>#VALUE!</v>
      </c>
      <c r="I1740" t="str">
        <f t="shared" si="55"/>
        <v>-</v>
      </c>
    </row>
    <row r="1741" spans="1:9" x14ac:dyDescent="0.2">
      <c r="A1741">
        <v>506035</v>
      </c>
      <c r="B1741" t="s">
        <v>63</v>
      </c>
      <c r="C1741" t="s">
        <v>8</v>
      </c>
      <c r="D1741" t="s">
        <v>64</v>
      </c>
      <c r="E1741" t="s">
        <v>18</v>
      </c>
      <c r="F1741" t="s">
        <v>18</v>
      </c>
      <c r="G1741" t="s">
        <v>18</v>
      </c>
      <c r="H1741" t="e">
        <f t="shared" si="54"/>
        <v>#VALUE!</v>
      </c>
      <c r="I1741" t="str">
        <f t="shared" si="55"/>
        <v>-</v>
      </c>
    </row>
    <row r="1742" spans="1:9" x14ac:dyDescent="0.2">
      <c r="A1742">
        <v>506287</v>
      </c>
      <c r="B1742" t="s">
        <v>65</v>
      </c>
      <c r="C1742" t="s">
        <v>8</v>
      </c>
      <c r="D1742" t="s">
        <v>66</v>
      </c>
      <c r="E1742">
        <v>29618</v>
      </c>
      <c r="F1742">
        <v>3.62</v>
      </c>
      <c r="G1742" t="s">
        <v>67</v>
      </c>
      <c r="H1742" t="e">
        <f t="shared" si="54"/>
        <v>#VALUE!</v>
      </c>
      <c r="I1742" t="str">
        <f t="shared" si="55"/>
        <v>-</v>
      </c>
    </row>
    <row r="1743" spans="1:9" x14ac:dyDescent="0.2">
      <c r="A1743">
        <v>506669</v>
      </c>
      <c r="B1743" t="s">
        <v>68</v>
      </c>
      <c r="C1743" t="s">
        <v>8</v>
      </c>
      <c r="D1743" t="s">
        <v>69</v>
      </c>
      <c r="E1743" t="s">
        <v>18</v>
      </c>
      <c r="F1743" t="s">
        <v>18</v>
      </c>
      <c r="G1743" t="s">
        <v>18</v>
      </c>
      <c r="H1743" t="e">
        <f t="shared" si="54"/>
        <v>#VALUE!</v>
      </c>
      <c r="I1743" t="str">
        <f t="shared" si="55"/>
        <v>-</v>
      </c>
    </row>
    <row r="1744" spans="1:9" x14ac:dyDescent="0.2">
      <c r="A1744">
        <v>506871</v>
      </c>
      <c r="B1744" t="s">
        <v>7</v>
      </c>
      <c r="C1744" t="s">
        <v>8</v>
      </c>
      <c r="D1744" t="s">
        <v>9</v>
      </c>
      <c r="E1744">
        <v>165</v>
      </c>
      <c r="F1744">
        <v>105</v>
      </c>
      <c r="G1744" t="s">
        <v>10</v>
      </c>
      <c r="H1744" t="e">
        <f t="shared" si="54"/>
        <v>#VALUE!</v>
      </c>
      <c r="I1744" t="str">
        <f t="shared" si="55"/>
        <v>-</v>
      </c>
    </row>
    <row r="1745" spans="1:9" x14ac:dyDescent="0.2">
      <c r="A1745">
        <v>507063</v>
      </c>
      <c r="B1745" t="s">
        <v>11</v>
      </c>
      <c r="C1745" t="s">
        <v>8</v>
      </c>
      <c r="D1745" t="s">
        <v>12</v>
      </c>
      <c r="E1745">
        <v>205</v>
      </c>
      <c r="F1745">
        <v>105.75</v>
      </c>
      <c r="G1745" t="s">
        <v>10</v>
      </c>
      <c r="H1745" t="e">
        <f t="shared" si="54"/>
        <v>#VALUE!</v>
      </c>
      <c r="I1745" t="str">
        <f t="shared" si="55"/>
        <v>-</v>
      </c>
    </row>
    <row r="1746" spans="1:9" x14ac:dyDescent="0.2">
      <c r="A1746">
        <v>507275</v>
      </c>
      <c r="B1746" t="s">
        <v>13</v>
      </c>
      <c r="C1746" t="s">
        <v>8</v>
      </c>
      <c r="D1746" t="s">
        <v>14</v>
      </c>
      <c r="E1746">
        <v>25902</v>
      </c>
      <c r="F1746">
        <v>1011.8</v>
      </c>
      <c r="G1746" t="s">
        <v>15</v>
      </c>
      <c r="H1746" t="str">
        <f t="shared" si="54"/>
        <v>PSI</v>
      </c>
      <c r="I1746">
        <f t="shared" si="55"/>
        <v>14.674918303542567</v>
      </c>
    </row>
    <row r="1747" spans="1:9" x14ac:dyDescent="0.2">
      <c r="A1747">
        <v>507657</v>
      </c>
      <c r="B1747" t="s">
        <v>16</v>
      </c>
      <c r="C1747" t="s">
        <v>8</v>
      </c>
      <c r="D1747" t="s">
        <v>17</v>
      </c>
      <c r="E1747" t="s">
        <v>18</v>
      </c>
      <c r="F1747" t="s">
        <v>18</v>
      </c>
      <c r="G1747" t="s">
        <v>18</v>
      </c>
      <c r="H1747" t="e">
        <f t="shared" si="54"/>
        <v>#VALUE!</v>
      </c>
      <c r="I1747" t="str">
        <f t="shared" si="55"/>
        <v>-</v>
      </c>
    </row>
    <row r="1748" spans="1:9" x14ac:dyDescent="0.2">
      <c r="A1748">
        <v>507869</v>
      </c>
      <c r="B1748" t="s">
        <v>19</v>
      </c>
      <c r="C1748" t="s">
        <v>8</v>
      </c>
      <c r="D1748" t="s">
        <v>20</v>
      </c>
      <c r="E1748">
        <v>12949</v>
      </c>
      <c r="F1748">
        <v>1011.64</v>
      </c>
      <c r="G1748" t="s">
        <v>15</v>
      </c>
      <c r="H1748" t="str">
        <f t="shared" si="54"/>
        <v>PSI</v>
      </c>
      <c r="I1748">
        <f t="shared" si="55"/>
        <v>14.672597699738885</v>
      </c>
    </row>
    <row r="1749" spans="1:9" x14ac:dyDescent="0.2">
      <c r="A1749">
        <v>508081</v>
      </c>
      <c r="B1749" t="s">
        <v>21</v>
      </c>
      <c r="C1749" t="s">
        <v>8</v>
      </c>
      <c r="D1749" t="s">
        <v>22</v>
      </c>
      <c r="E1749">
        <v>5055</v>
      </c>
      <c r="F1749">
        <v>1263.75</v>
      </c>
      <c r="G1749" t="s">
        <v>23</v>
      </c>
      <c r="H1749" t="e">
        <f t="shared" si="54"/>
        <v>#VALUE!</v>
      </c>
      <c r="I1749" t="str">
        <f t="shared" si="55"/>
        <v>-</v>
      </c>
    </row>
    <row r="1750" spans="1:9" x14ac:dyDescent="0.2">
      <c r="A1750">
        <v>508272</v>
      </c>
      <c r="B1750" t="s">
        <v>24</v>
      </c>
      <c r="C1750" t="s">
        <v>8</v>
      </c>
      <c r="D1750" t="s">
        <v>25</v>
      </c>
      <c r="E1750">
        <v>2</v>
      </c>
      <c r="F1750">
        <v>2</v>
      </c>
      <c r="G1750" t="s">
        <v>26</v>
      </c>
      <c r="H1750" t="e">
        <f t="shared" si="54"/>
        <v>#VALUE!</v>
      </c>
      <c r="I1750" t="str">
        <f t="shared" si="55"/>
        <v>-</v>
      </c>
    </row>
    <row r="1751" spans="1:9" x14ac:dyDescent="0.2">
      <c r="A1751">
        <v>508494</v>
      </c>
      <c r="B1751" t="s">
        <v>27</v>
      </c>
      <c r="C1751" t="s">
        <v>8</v>
      </c>
      <c r="D1751" t="s">
        <v>28</v>
      </c>
      <c r="E1751">
        <v>603</v>
      </c>
      <c r="F1751">
        <v>14.16</v>
      </c>
      <c r="G1751" t="s">
        <v>29</v>
      </c>
      <c r="H1751" t="e">
        <f t="shared" si="54"/>
        <v>#VALUE!</v>
      </c>
      <c r="I1751" t="str">
        <f t="shared" si="55"/>
        <v>-</v>
      </c>
    </row>
    <row r="1752" spans="1:9" x14ac:dyDescent="0.2">
      <c r="A1752">
        <v>508697</v>
      </c>
      <c r="B1752" t="s">
        <v>30</v>
      </c>
      <c r="C1752" t="s">
        <v>8</v>
      </c>
      <c r="D1752" t="s">
        <v>31</v>
      </c>
      <c r="E1752">
        <v>2948</v>
      </c>
      <c r="F1752">
        <v>2948</v>
      </c>
      <c r="G1752" t="s">
        <v>15</v>
      </c>
      <c r="H1752" t="str">
        <f t="shared" si="54"/>
        <v>PSI</v>
      </c>
      <c r="I1752">
        <f t="shared" si="55"/>
        <v>42.757125082865677</v>
      </c>
    </row>
    <row r="1753" spans="1:9" x14ac:dyDescent="0.2">
      <c r="A1753">
        <v>508910</v>
      </c>
      <c r="B1753" t="s">
        <v>32</v>
      </c>
      <c r="C1753" t="s">
        <v>8</v>
      </c>
      <c r="D1753" t="s">
        <v>33</v>
      </c>
      <c r="E1753">
        <v>3693</v>
      </c>
      <c r="F1753">
        <v>0.9</v>
      </c>
      <c r="G1753" t="s">
        <v>26</v>
      </c>
      <c r="H1753" t="e">
        <f t="shared" si="54"/>
        <v>#VALUE!</v>
      </c>
      <c r="I1753" t="str">
        <f t="shared" si="55"/>
        <v>-</v>
      </c>
    </row>
    <row r="1754" spans="1:9" x14ac:dyDescent="0.2">
      <c r="A1754">
        <v>509122</v>
      </c>
      <c r="B1754" t="s">
        <v>34</v>
      </c>
      <c r="C1754" t="s">
        <v>8</v>
      </c>
      <c r="D1754" t="s">
        <v>35</v>
      </c>
      <c r="E1754">
        <v>3804</v>
      </c>
      <c r="F1754">
        <v>0.93</v>
      </c>
      <c r="G1754" t="s">
        <v>26</v>
      </c>
      <c r="H1754" t="e">
        <f t="shared" si="54"/>
        <v>#VALUE!</v>
      </c>
      <c r="I1754" t="str">
        <f t="shared" si="55"/>
        <v>-</v>
      </c>
    </row>
    <row r="1755" spans="1:9" x14ac:dyDescent="0.2">
      <c r="A1755">
        <v>509494</v>
      </c>
      <c r="B1755" t="s">
        <v>36</v>
      </c>
      <c r="C1755" t="s">
        <v>8</v>
      </c>
      <c r="D1755" t="s">
        <v>37</v>
      </c>
      <c r="E1755" t="s">
        <v>18</v>
      </c>
      <c r="F1755" t="s">
        <v>18</v>
      </c>
      <c r="G1755" t="s">
        <v>18</v>
      </c>
      <c r="H1755" t="e">
        <f t="shared" si="54"/>
        <v>#VALUE!</v>
      </c>
      <c r="I1755" t="str">
        <f t="shared" si="55"/>
        <v>-</v>
      </c>
    </row>
    <row r="1756" spans="1:9" x14ac:dyDescent="0.2">
      <c r="A1756">
        <v>509876</v>
      </c>
      <c r="B1756" t="s">
        <v>38</v>
      </c>
      <c r="C1756" t="s">
        <v>8</v>
      </c>
      <c r="D1756" t="s">
        <v>39</v>
      </c>
      <c r="E1756" t="s">
        <v>18</v>
      </c>
      <c r="F1756" t="s">
        <v>18</v>
      </c>
      <c r="G1756" t="s">
        <v>18</v>
      </c>
      <c r="H1756" t="e">
        <f t="shared" si="54"/>
        <v>#VALUE!</v>
      </c>
      <c r="I1756" t="str">
        <f t="shared" si="55"/>
        <v>-</v>
      </c>
    </row>
    <row r="1757" spans="1:9" x14ac:dyDescent="0.2">
      <c r="A1757">
        <v>510268</v>
      </c>
      <c r="B1757" t="s">
        <v>40</v>
      </c>
      <c r="C1757" t="s">
        <v>8</v>
      </c>
      <c r="D1757" t="s">
        <v>41</v>
      </c>
      <c r="E1757" t="s">
        <v>18</v>
      </c>
      <c r="F1757" t="s">
        <v>18</v>
      </c>
      <c r="G1757" t="s">
        <v>18</v>
      </c>
      <c r="H1757" t="e">
        <f t="shared" si="54"/>
        <v>#VALUE!</v>
      </c>
      <c r="I1757" t="str">
        <f t="shared" si="55"/>
        <v>-</v>
      </c>
    </row>
    <row r="1758" spans="1:9" x14ac:dyDescent="0.2">
      <c r="A1758">
        <v>510490</v>
      </c>
      <c r="B1758" t="s">
        <v>42</v>
      </c>
      <c r="C1758" t="s">
        <v>8</v>
      </c>
      <c r="D1758" t="s">
        <v>43</v>
      </c>
      <c r="E1758">
        <v>10295</v>
      </c>
      <c r="F1758">
        <v>5.15</v>
      </c>
      <c r="G1758" t="s">
        <v>44</v>
      </c>
      <c r="H1758" t="str">
        <f t="shared" si="54"/>
        <v>PSI</v>
      </c>
      <c r="I1758">
        <f t="shared" si="55"/>
        <v>746.94434931057742</v>
      </c>
    </row>
    <row r="1759" spans="1:9" x14ac:dyDescent="0.2">
      <c r="A1759">
        <v>510682</v>
      </c>
      <c r="B1759" t="s">
        <v>45</v>
      </c>
      <c r="C1759" t="s">
        <v>8</v>
      </c>
      <c r="D1759" t="s">
        <v>46</v>
      </c>
      <c r="E1759">
        <v>1</v>
      </c>
      <c r="F1759">
        <v>1</v>
      </c>
      <c r="G1759" t="s">
        <v>15</v>
      </c>
      <c r="H1759" t="str">
        <f t="shared" si="54"/>
        <v>PSI</v>
      </c>
      <c r="I1759">
        <f t="shared" si="55"/>
        <v>1.4503773773020921E-2</v>
      </c>
    </row>
    <row r="1760" spans="1:9" x14ac:dyDescent="0.2">
      <c r="A1760">
        <v>510914</v>
      </c>
      <c r="B1760" t="s">
        <v>47</v>
      </c>
      <c r="C1760" t="s">
        <v>8</v>
      </c>
      <c r="D1760" t="s">
        <v>48</v>
      </c>
      <c r="E1760">
        <v>4768</v>
      </c>
      <c r="F1760">
        <v>476.8</v>
      </c>
      <c r="G1760" t="s">
        <v>49</v>
      </c>
      <c r="H1760" t="e">
        <f t="shared" si="54"/>
        <v>#VALUE!</v>
      </c>
      <c r="I1760" t="str">
        <f t="shared" si="55"/>
        <v>-</v>
      </c>
    </row>
    <row r="1761" spans="1:9" x14ac:dyDescent="0.2">
      <c r="A1761">
        <v>511126</v>
      </c>
      <c r="B1761" t="s">
        <v>50</v>
      </c>
      <c r="C1761" t="s">
        <v>8</v>
      </c>
      <c r="D1761" t="s">
        <v>51</v>
      </c>
      <c r="E1761">
        <v>24621</v>
      </c>
      <c r="F1761">
        <v>961.76</v>
      </c>
      <c r="G1761" t="s">
        <v>15</v>
      </c>
      <c r="H1761" t="str">
        <f t="shared" si="54"/>
        <v>PSI</v>
      </c>
      <c r="I1761">
        <f t="shared" si="55"/>
        <v>13.9491494639406</v>
      </c>
    </row>
    <row r="1762" spans="1:9" x14ac:dyDescent="0.2">
      <c r="A1762">
        <v>511318</v>
      </c>
      <c r="B1762" t="s">
        <v>52</v>
      </c>
      <c r="C1762" t="s">
        <v>8</v>
      </c>
      <c r="D1762" t="s">
        <v>53</v>
      </c>
      <c r="E1762">
        <v>91</v>
      </c>
      <c r="F1762">
        <v>20.25</v>
      </c>
      <c r="G1762" t="s">
        <v>10</v>
      </c>
      <c r="H1762" t="e">
        <f t="shared" si="54"/>
        <v>#VALUE!</v>
      </c>
      <c r="I1762" t="str">
        <f t="shared" si="55"/>
        <v>-</v>
      </c>
    </row>
    <row r="1763" spans="1:9" x14ac:dyDescent="0.2">
      <c r="A1763">
        <v>511510</v>
      </c>
      <c r="B1763" t="s">
        <v>54</v>
      </c>
      <c r="C1763" t="s">
        <v>8</v>
      </c>
      <c r="D1763" t="s">
        <v>55</v>
      </c>
      <c r="E1763">
        <v>3</v>
      </c>
      <c r="F1763">
        <v>12</v>
      </c>
      <c r="G1763" t="s">
        <v>56</v>
      </c>
      <c r="H1763" t="e">
        <f t="shared" si="54"/>
        <v>#VALUE!</v>
      </c>
      <c r="I1763" t="str">
        <f t="shared" si="55"/>
        <v>-</v>
      </c>
    </row>
    <row r="1764" spans="1:9" x14ac:dyDescent="0.2">
      <c r="A1764">
        <v>511892</v>
      </c>
      <c r="B1764" t="s">
        <v>57</v>
      </c>
      <c r="C1764" t="s">
        <v>8</v>
      </c>
      <c r="D1764" t="s">
        <v>58</v>
      </c>
      <c r="E1764" t="s">
        <v>18</v>
      </c>
      <c r="F1764" t="s">
        <v>18</v>
      </c>
      <c r="G1764" t="s">
        <v>18</v>
      </c>
      <c r="H1764" t="e">
        <f t="shared" si="54"/>
        <v>#VALUE!</v>
      </c>
      <c r="I1764" t="str">
        <f t="shared" si="55"/>
        <v>-</v>
      </c>
    </row>
    <row r="1765" spans="1:9" x14ac:dyDescent="0.2">
      <c r="A1765">
        <v>512274</v>
      </c>
      <c r="B1765" t="s">
        <v>59</v>
      </c>
      <c r="C1765" t="s">
        <v>8</v>
      </c>
      <c r="D1765" t="s">
        <v>60</v>
      </c>
      <c r="E1765" t="s">
        <v>18</v>
      </c>
      <c r="F1765" t="s">
        <v>18</v>
      </c>
      <c r="G1765" t="s">
        <v>18</v>
      </c>
      <c r="H1765" t="e">
        <f t="shared" si="54"/>
        <v>#VALUE!</v>
      </c>
      <c r="I1765" t="str">
        <f t="shared" si="55"/>
        <v>-</v>
      </c>
    </row>
    <row r="1766" spans="1:9" x14ac:dyDescent="0.2">
      <c r="A1766">
        <v>512656</v>
      </c>
      <c r="B1766" t="s">
        <v>61</v>
      </c>
      <c r="C1766" t="s">
        <v>8</v>
      </c>
      <c r="D1766" t="s">
        <v>62</v>
      </c>
      <c r="E1766" t="s">
        <v>18</v>
      </c>
      <c r="F1766" t="s">
        <v>18</v>
      </c>
      <c r="G1766" t="s">
        <v>18</v>
      </c>
      <c r="H1766" t="e">
        <f t="shared" si="54"/>
        <v>#VALUE!</v>
      </c>
      <c r="I1766" t="str">
        <f t="shared" si="55"/>
        <v>-</v>
      </c>
    </row>
    <row r="1767" spans="1:9" x14ac:dyDescent="0.2">
      <c r="A1767">
        <v>513038</v>
      </c>
      <c r="B1767" t="s">
        <v>63</v>
      </c>
      <c r="C1767" t="s">
        <v>8</v>
      </c>
      <c r="D1767" t="s">
        <v>64</v>
      </c>
      <c r="E1767" t="s">
        <v>18</v>
      </c>
      <c r="F1767" t="s">
        <v>18</v>
      </c>
      <c r="G1767" t="s">
        <v>18</v>
      </c>
      <c r="H1767" t="e">
        <f t="shared" si="54"/>
        <v>#VALUE!</v>
      </c>
      <c r="I1767" t="str">
        <f t="shared" si="55"/>
        <v>-</v>
      </c>
    </row>
    <row r="1768" spans="1:9" x14ac:dyDescent="0.2">
      <c r="A1768">
        <v>513300</v>
      </c>
      <c r="B1768" t="s">
        <v>65</v>
      </c>
      <c r="C1768" t="s">
        <v>8</v>
      </c>
      <c r="D1768" t="s">
        <v>66</v>
      </c>
      <c r="E1768">
        <v>29642</v>
      </c>
      <c r="F1768">
        <v>3.62</v>
      </c>
      <c r="G1768" t="s">
        <v>67</v>
      </c>
      <c r="H1768" t="e">
        <f t="shared" si="54"/>
        <v>#VALUE!</v>
      </c>
      <c r="I1768" t="str">
        <f t="shared" si="55"/>
        <v>-</v>
      </c>
    </row>
    <row r="1769" spans="1:9" x14ac:dyDescent="0.2">
      <c r="A1769">
        <v>513682</v>
      </c>
      <c r="B1769" t="s">
        <v>68</v>
      </c>
      <c r="C1769" t="s">
        <v>8</v>
      </c>
      <c r="D1769" t="s">
        <v>69</v>
      </c>
      <c r="E1769" t="s">
        <v>18</v>
      </c>
      <c r="F1769" t="s">
        <v>18</v>
      </c>
      <c r="G1769" t="s">
        <v>18</v>
      </c>
      <c r="H1769" t="e">
        <f t="shared" si="54"/>
        <v>#VALUE!</v>
      </c>
      <c r="I1769" t="str">
        <f t="shared" si="55"/>
        <v>-</v>
      </c>
    </row>
    <row r="1770" spans="1:9" x14ac:dyDescent="0.2">
      <c r="A1770">
        <v>513884</v>
      </c>
      <c r="B1770" t="s">
        <v>7</v>
      </c>
      <c r="C1770" t="s">
        <v>8</v>
      </c>
      <c r="D1770" t="s">
        <v>9</v>
      </c>
      <c r="E1770">
        <v>165</v>
      </c>
      <c r="F1770">
        <v>105</v>
      </c>
      <c r="G1770" t="s">
        <v>10</v>
      </c>
      <c r="H1770" t="e">
        <f t="shared" si="54"/>
        <v>#VALUE!</v>
      </c>
      <c r="I1770" t="str">
        <f t="shared" si="55"/>
        <v>-</v>
      </c>
    </row>
    <row r="1771" spans="1:9" x14ac:dyDescent="0.2">
      <c r="A1771">
        <v>514076</v>
      </c>
      <c r="B1771" t="s">
        <v>11</v>
      </c>
      <c r="C1771" t="s">
        <v>8</v>
      </c>
      <c r="D1771" t="s">
        <v>12</v>
      </c>
      <c r="E1771">
        <v>205</v>
      </c>
      <c r="F1771">
        <v>105.75</v>
      </c>
      <c r="G1771" t="s">
        <v>10</v>
      </c>
      <c r="H1771" t="e">
        <f t="shared" si="54"/>
        <v>#VALUE!</v>
      </c>
      <c r="I1771" t="str">
        <f t="shared" si="55"/>
        <v>-</v>
      </c>
    </row>
    <row r="1772" spans="1:9" x14ac:dyDescent="0.2">
      <c r="A1772">
        <v>514288</v>
      </c>
      <c r="B1772" t="s">
        <v>13</v>
      </c>
      <c r="C1772" t="s">
        <v>8</v>
      </c>
      <c r="D1772" t="s">
        <v>14</v>
      </c>
      <c r="E1772">
        <v>25902</v>
      </c>
      <c r="F1772">
        <v>1011.8</v>
      </c>
      <c r="G1772" t="s">
        <v>15</v>
      </c>
      <c r="H1772" t="str">
        <f t="shared" si="54"/>
        <v>PSI</v>
      </c>
      <c r="I1772">
        <f t="shared" si="55"/>
        <v>14.674918303542567</v>
      </c>
    </row>
    <row r="1773" spans="1:9" x14ac:dyDescent="0.2">
      <c r="A1773">
        <v>514670</v>
      </c>
      <c r="B1773" t="s">
        <v>16</v>
      </c>
      <c r="C1773" t="s">
        <v>8</v>
      </c>
      <c r="D1773" t="s">
        <v>17</v>
      </c>
      <c r="E1773" t="s">
        <v>18</v>
      </c>
      <c r="F1773" t="s">
        <v>18</v>
      </c>
      <c r="G1773" t="s">
        <v>18</v>
      </c>
      <c r="H1773" t="e">
        <f t="shared" si="54"/>
        <v>#VALUE!</v>
      </c>
      <c r="I1773" t="str">
        <f t="shared" si="55"/>
        <v>-</v>
      </c>
    </row>
    <row r="1774" spans="1:9" x14ac:dyDescent="0.2">
      <c r="A1774">
        <v>514882</v>
      </c>
      <c r="B1774" t="s">
        <v>19</v>
      </c>
      <c r="C1774" t="s">
        <v>8</v>
      </c>
      <c r="D1774" t="s">
        <v>20</v>
      </c>
      <c r="E1774">
        <v>12949</v>
      </c>
      <c r="F1774">
        <v>1011.64</v>
      </c>
      <c r="G1774" t="s">
        <v>15</v>
      </c>
      <c r="H1774" t="str">
        <f t="shared" si="54"/>
        <v>PSI</v>
      </c>
      <c r="I1774">
        <f t="shared" si="55"/>
        <v>14.672597699738885</v>
      </c>
    </row>
    <row r="1775" spans="1:9" x14ac:dyDescent="0.2">
      <c r="A1775">
        <v>515114</v>
      </c>
      <c r="B1775" t="s">
        <v>21</v>
      </c>
      <c r="C1775" t="s">
        <v>8</v>
      </c>
      <c r="D1775" t="s">
        <v>22</v>
      </c>
      <c r="E1775">
        <v>5215</v>
      </c>
      <c r="F1775">
        <v>1303.75</v>
      </c>
      <c r="G1775" t="s">
        <v>23</v>
      </c>
      <c r="H1775" t="e">
        <f t="shared" si="54"/>
        <v>#VALUE!</v>
      </c>
      <c r="I1775" t="str">
        <f t="shared" si="55"/>
        <v>-</v>
      </c>
    </row>
    <row r="1776" spans="1:9" x14ac:dyDescent="0.2">
      <c r="A1776">
        <v>515306</v>
      </c>
      <c r="B1776" t="s">
        <v>24</v>
      </c>
      <c r="C1776" t="s">
        <v>8</v>
      </c>
      <c r="D1776" t="s">
        <v>25</v>
      </c>
      <c r="E1776">
        <v>2</v>
      </c>
      <c r="F1776">
        <v>2</v>
      </c>
      <c r="G1776" t="s">
        <v>26</v>
      </c>
      <c r="H1776" t="e">
        <f t="shared" si="54"/>
        <v>#VALUE!</v>
      </c>
      <c r="I1776" t="str">
        <f t="shared" si="55"/>
        <v>-</v>
      </c>
    </row>
    <row r="1777" spans="1:9" x14ac:dyDescent="0.2">
      <c r="A1777">
        <v>515528</v>
      </c>
      <c r="B1777" t="s">
        <v>27</v>
      </c>
      <c r="C1777" t="s">
        <v>8</v>
      </c>
      <c r="D1777" t="s">
        <v>28</v>
      </c>
      <c r="E1777">
        <v>604</v>
      </c>
      <c r="F1777">
        <v>14.18</v>
      </c>
      <c r="G1777" t="s">
        <v>29</v>
      </c>
      <c r="H1777" t="e">
        <f t="shared" si="54"/>
        <v>#VALUE!</v>
      </c>
      <c r="I1777" t="str">
        <f t="shared" si="55"/>
        <v>-</v>
      </c>
    </row>
    <row r="1778" spans="1:9" x14ac:dyDescent="0.2">
      <c r="A1778">
        <v>515740</v>
      </c>
      <c r="B1778" t="s">
        <v>30</v>
      </c>
      <c r="C1778" t="s">
        <v>8</v>
      </c>
      <c r="D1778" t="s">
        <v>31</v>
      </c>
      <c r="E1778">
        <v>3204</v>
      </c>
      <c r="F1778">
        <v>3204</v>
      </c>
      <c r="G1778" t="s">
        <v>15</v>
      </c>
      <c r="H1778" t="str">
        <f t="shared" si="54"/>
        <v>PSI</v>
      </c>
      <c r="I1778">
        <f t="shared" si="55"/>
        <v>46.470091168759033</v>
      </c>
    </row>
    <row r="1779" spans="1:9" x14ac:dyDescent="0.2">
      <c r="A1779">
        <v>515952</v>
      </c>
      <c r="B1779" t="s">
        <v>32</v>
      </c>
      <c r="C1779" t="s">
        <v>8</v>
      </c>
      <c r="D1779" t="s">
        <v>33</v>
      </c>
      <c r="E1779">
        <v>3961</v>
      </c>
      <c r="F1779">
        <v>0.97</v>
      </c>
      <c r="G1779" t="s">
        <v>26</v>
      </c>
      <c r="H1779" t="e">
        <f t="shared" si="54"/>
        <v>#VALUE!</v>
      </c>
      <c r="I1779" t="str">
        <f t="shared" si="55"/>
        <v>-</v>
      </c>
    </row>
    <row r="1780" spans="1:9" x14ac:dyDescent="0.2">
      <c r="A1780">
        <v>516164</v>
      </c>
      <c r="B1780" t="s">
        <v>34</v>
      </c>
      <c r="C1780" t="s">
        <v>8</v>
      </c>
      <c r="D1780" t="s">
        <v>35</v>
      </c>
      <c r="E1780">
        <v>3903</v>
      </c>
      <c r="F1780">
        <v>0.95</v>
      </c>
      <c r="G1780" t="s">
        <v>26</v>
      </c>
      <c r="H1780" t="e">
        <f t="shared" si="54"/>
        <v>#VALUE!</v>
      </c>
      <c r="I1780" t="str">
        <f t="shared" si="55"/>
        <v>-</v>
      </c>
    </row>
    <row r="1781" spans="1:9" x14ac:dyDescent="0.2">
      <c r="A1781">
        <v>516546</v>
      </c>
      <c r="B1781" t="s">
        <v>36</v>
      </c>
      <c r="C1781" t="s">
        <v>8</v>
      </c>
      <c r="D1781" t="s">
        <v>37</v>
      </c>
      <c r="E1781" t="s">
        <v>18</v>
      </c>
      <c r="F1781" t="s">
        <v>18</v>
      </c>
      <c r="G1781" t="s">
        <v>18</v>
      </c>
      <c r="H1781" t="e">
        <f t="shared" si="54"/>
        <v>#VALUE!</v>
      </c>
      <c r="I1781" t="str">
        <f t="shared" si="55"/>
        <v>-</v>
      </c>
    </row>
    <row r="1782" spans="1:9" x14ac:dyDescent="0.2">
      <c r="A1782">
        <v>516928</v>
      </c>
      <c r="B1782" t="s">
        <v>38</v>
      </c>
      <c r="C1782" t="s">
        <v>8</v>
      </c>
      <c r="D1782" t="s">
        <v>39</v>
      </c>
      <c r="E1782" t="s">
        <v>18</v>
      </c>
      <c r="F1782" t="s">
        <v>18</v>
      </c>
      <c r="G1782" t="s">
        <v>18</v>
      </c>
      <c r="H1782" t="e">
        <f t="shared" si="54"/>
        <v>#VALUE!</v>
      </c>
      <c r="I1782" t="str">
        <f t="shared" si="55"/>
        <v>-</v>
      </c>
    </row>
    <row r="1783" spans="1:9" x14ac:dyDescent="0.2">
      <c r="A1783">
        <v>517300</v>
      </c>
      <c r="B1783" t="s">
        <v>40</v>
      </c>
      <c r="C1783" t="s">
        <v>8</v>
      </c>
      <c r="D1783" t="s">
        <v>41</v>
      </c>
      <c r="E1783" t="s">
        <v>18</v>
      </c>
      <c r="F1783" t="s">
        <v>18</v>
      </c>
      <c r="G1783" t="s">
        <v>18</v>
      </c>
      <c r="H1783" t="e">
        <f t="shared" si="54"/>
        <v>#VALUE!</v>
      </c>
      <c r="I1783" t="str">
        <f t="shared" si="55"/>
        <v>-</v>
      </c>
    </row>
    <row r="1784" spans="1:9" x14ac:dyDescent="0.2">
      <c r="A1784">
        <v>517512</v>
      </c>
      <c r="B1784" t="s">
        <v>42</v>
      </c>
      <c r="C1784" t="s">
        <v>8</v>
      </c>
      <c r="D1784" t="s">
        <v>43</v>
      </c>
      <c r="E1784">
        <v>9872</v>
      </c>
      <c r="F1784">
        <v>4.9400000000000004</v>
      </c>
      <c r="G1784" t="s">
        <v>44</v>
      </c>
      <c r="H1784" t="str">
        <f t="shared" si="54"/>
        <v>PSI</v>
      </c>
      <c r="I1784">
        <f t="shared" si="55"/>
        <v>716.48642438723346</v>
      </c>
    </row>
    <row r="1785" spans="1:9" x14ac:dyDescent="0.2">
      <c r="A1785">
        <v>517704</v>
      </c>
      <c r="B1785" t="s">
        <v>45</v>
      </c>
      <c r="C1785" t="s">
        <v>8</v>
      </c>
      <c r="D1785" t="s">
        <v>46</v>
      </c>
      <c r="E1785">
        <v>1</v>
      </c>
      <c r="F1785">
        <v>1</v>
      </c>
      <c r="G1785" t="s">
        <v>15</v>
      </c>
      <c r="H1785" t="str">
        <f t="shared" si="54"/>
        <v>PSI</v>
      </c>
      <c r="I1785">
        <f t="shared" si="55"/>
        <v>1.4503773773020921E-2</v>
      </c>
    </row>
    <row r="1786" spans="1:9" x14ac:dyDescent="0.2">
      <c r="A1786">
        <v>517916</v>
      </c>
      <c r="B1786" t="s">
        <v>47</v>
      </c>
      <c r="C1786" t="s">
        <v>8</v>
      </c>
      <c r="D1786" t="s">
        <v>48</v>
      </c>
      <c r="E1786">
        <v>4838</v>
      </c>
      <c r="F1786">
        <v>483.8</v>
      </c>
      <c r="G1786" t="s">
        <v>49</v>
      </c>
      <c r="H1786" t="e">
        <f t="shared" si="54"/>
        <v>#VALUE!</v>
      </c>
      <c r="I1786" t="str">
        <f t="shared" si="55"/>
        <v>-</v>
      </c>
    </row>
    <row r="1787" spans="1:9" x14ac:dyDescent="0.2">
      <c r="A1787">
        <v>518128</v>
      </c>
      <c r="B1787" t="s">
        <v>50</v>
      </c>
      <c r="C1787" t="s">
        <v>8</v>
      </c>
      <c r="D1787" t="s">
        <v>51</v>
      </c>
      <c r="E1787">
        <v>23847</v>
      </c>
      <c r="F1787">
        <v>931.52</v>
      </c>
      <c r="G1787" t="s">
        <v>15</v>
      </c>
      <c r="H1787" t="str">
        <f t="shared" si="54"/>
        <v>PSI</v>
      </c>
      <c r="I1787">
        <f t="shared" si="55"/>
        <v>13.510555345044448</v>
      </c>
    </row>
    <row r="1788" spans="1:9" x14ac:dyDescent="0.2">
      <c r="A1788">
        <v>518321</v>
      </c>
      <c r="B1788" t="s">
        <v>52</v>
      </c>
      <c r="C1788" t="s">
        <v>8</v>
      </c>
      <c r="D1788" t="s">
        <v>53</v>
      </c>
      <c r="E1788">
        <v>91</v>
      </c>
      <c r="F1788">
        <v>20.25</v>
      </c>
      <c r="G1788" t="s">
        <v>10</v>
      </c>
      <c r="H1788" t="e">
        <f t="shared" si="54"/>
        <v>#VALUE!</v>
      </c>
      <c r="I1788" t="str">
        <f t="shared" si="55"/>
        <v>-</v>
      </c>
    </row>
    <row r="1789" spans="1:9" x14ac:dyDescent="0.2">
      <c r="A1789">
        <v>518513</v>
      </c>
      <c r="B1789" t="s">
        <v>54</v>
      </c>
      <c r="C1789" t="s">
        <v>8</v>
      </c>
      <c r="D1789" t="s">
        <v>55</v>
      </c>
      <c r="E1789">
        <v>3</v>
      </c>
      <c r="F1789">
        <v>12</v>
      </c>
      <c r="G1789" t="s">
        <v>56</v>
      </c>
      <c r="H1789" t="e">
        <f t="shared" si="54"/>
        <v>#VALUE!</v>
      </c>
      <c r="I1789" t="str">
        <f t="shared" si="55"/>
        <v>-</v>
      </c>
    </row>
    <row r="1790" spans="1:9" x14ac:dyDescent="0.2">
      <c r="A1790">
        <v>518895</v>
      </c>
      <c r="B1790" t="s">
        <v>57</v>
      </c>
      <c r="C1790" t="s">
        <v>8</v>
      </c>
      <c r="D1790" t="s">
        <v>58</v>
      </c>
      <c r="E1790" t="s">
        <v>18</v>
      </c>
      <c r="F1790" t="s">
        <v>18</v>
      </c>
      <c r="G1790" t="s">
        <v>18</v>
      </c>
      <c r="H1790" t="e">
        <f t="shared" si="54"/>
        <v>#VALUE!</v>
      </c>
      <c r="I1790" t="str">
        <f t="shared" si="55"/>
        <v>-</v>
      </c>
    </row>
    <row r="1791" spans="1:9" x14ac:dyDescent="0.2">
      <c r="A1791">
        <v>519277</v>
      </c>
      <c r="B1791" t="s">
        <v>59</v>
      </c>
      <c r="C1791" t="s">
        <v>8</v>
      </c>
      <c r="D1791" t="s">
        <v>60</v>
      </c>
      <c r="E1791" t="s">
        <v>18</v>
      </c>
      <c r="F1791" t="s">
        <v>18</v>
      </c>
      <c r="G1791" t="s">
        <v>18</v>
      </c>
      <c r="H1791" t="e">
        <f t="shared" si="54"/>
        <v>#VALUE!</v>
      </c>
      <c r="I1791" t="str">
        <f t="shared" si="55"/>
        <v>-</v>
      </c>
    </row>
    <row r="1792" spans="1:9" x14ac:dyDescent="0.2">
      <c r="A1792">
        <v>519659</v>
      </c>
      <c r="B1792" t="s">
        <v>61</v>
      </c>
      <c r="C1792" t="s">
        <v>8</v>
      </c>
      <c r="D1792" t="s">
        <v>62</v>
      </c>
      <c r="E1792" t="s">
        <v>18</v>
      </c>
      <c r="F1792" t="s">
        <v>18</v>
      </c>
      <c r="G1792" t="s">
        <v>18</v>
      </c>
      <c r="H1792" t="e">
        <f t="shared" si="54"/>
        <v>#VALUE!</v>
      </c>
      <c r="I1792" t="str">
        <f t="shared" si="55"/>
        <v>-</v>
      </c>
    </row>
    <row r="1793" spans="1:9" x14ac:dyDescent="0.2">
      <c r="A1793">
        <v>520042</v>
      </c>
      <c r="B1793" t="s">
        <v>63</v>
      </c>
      <c r="C1793" t="s">
        <v>8</v>
      </c>
      <c r="D1793" t="s">
        <v>64</v>
      </c>
      <c r="E1793" t="s">
        <v>18</v>
      </c>
      <c r="F1793" t="s">
        <v>18</v>
      </c>
      <c r="G1793" t="s">
        <v>18</v>
      </c>
      <c r="H1793" t="e">
        <f t="shared" si="54"/>
        <v>#VALUE!</v>
      </c>
      <c r="I1793" t="str">
        <f t="shared" si="55"/>
        <v>-</v>
      </c>
    </row>
    <row r="1794" spans="1:9" x14ac:dyDescent="0.2">
      <c r="A1794">
        <v>520294</v>
      </c>
      <c r="B1794" t="s">
        <v>65</v>
      </c>
      <c r="C1794" t="s">
        <v>8</v>
      </c>
      <c r="D1794" t="s">
        <v>66</v>
      </c>
      <c r="E1794">
        <v>29659</v>
      </c>
      <c r="F1794">
        <v>3.62</v>
      </c>
      <c r="G1794" t="s">
        <v>67</v>
      </c>
      <c r="H1794" t="e">
        <f t="shared" si="54"/>
        <v>#VALUE!</v>
      </c>
      <c r="I1794" t="str">
        <f t="shared" si="55"/>
        <v>-</v>
      </c>
    </row>
    <row r="1795" spans="1:9" x14ac:dyDescent="0.2">
      <c r="A1795">
        <v>520676</v>
      </c>
      <c r="B1795" t="s">
        <v>68</v>
      </c>
      <c r="C1795" t="s">
        <v>8</v>
      </c>
      <c r="D1795" t="s">
        <v>69</v>
      </c>
      <c r="E1795" t="s">
        <v>18</v>
      </c>
      <c r="F1795" t="s">
        <v>18</v>
      </c>
      <c r="G1795" t="s">
        <v>18</v>
      </c>
      <c r="H1795" t="e">
        <f t="shared" ref="H1795:H1858" si="56">IF(FIND("Pa",G1795,1),"PSI","-")</f>
        <v>#VALUE!</v>
      </c>
      <c r="I1795" t="str">
        <f t="shared" ref="I1795:I1858" si="57">IF(G1795="hPa",CONVERT(F1795*100,"Pa","psi"), IF(G1795="MPa",CONVERT(F1795*1000000,"Pa","psi"),"-"))</f>
        <v>-</v>
      </c>
    </row>
    <row r="1796" spans="1:9" x14ac:dyDescent="0.2">
      <c r="A1796">
        <v>520889</v>
      </c>
      <c r="B1796" t="s">
        <v>7</v>
      </c>
      <c r="C1796" t="s">
        <v>8</v>
      </c>
      <c r="D1796" t="s">
        <v>9</v>
      </c>
      <c r="E1796">
        <v>165</v>
      </c>
      <c r="F1796">
        <v>105</v>
      </c>
      <c r="G1796" t="s">
        <v>10</v>
      </c>
      <c r="H1796" t="e">
        <f t="shared" si="56"/>
        <v>#VALUE!</v>
      </c>
      <c r="I1796" t="str">
        <f t="shared" si="57"/>
        <v>-</v>
      </c>
    </row>
    <row r="1797" spans="1:9" x14ac:dyDescent="0.2">
      <c r="A1797">
        <v>521081</v>
      </c>
      <c r="B1797" t="s">
        <v>11</v>
      </c>
      <c r="C1797" t="s">
        <v>8</v>
      </c>
      <c r="D1797" t="s">
        <v>12</v>
      </c>
      <c r="E1797">
        <v>205</v>
      </c>
      <c r="F1797">
        <v>105.75</v>
      </c>
      <c r="G1797" t="s">
        <v>10</v>
      </c>
      <c r="H1797" t="e">
        <f t="shared" si="56"/>
        <v>#VALUE!</v>
      </c>
      <c r="I1797" t="str">
        <f t="shared" si="57"/>
        <v>-</v>
      </c>
    </row>
    <row r="1798" spans="1:9" x14ac:dyDescent="0.2">
      <c r="A1798">
        <v>521293</v>
      </c>
      <c r="B1798" t="s">
        <v>13</v>
      </c>
      <c r="C1798" t="s">
        <v>8</v>
      </c>
      <c r="D1798" t="s">
        <v>14</v>
      </c>
      <c r="E1798">
        <v>25902</v>
      </c>
      <c r="F1798">
        <v>1011.8</v>
      </c>
      <c r="G1798" t="s">
        <v>15</v>
      </c>
      <c r="H1798" t="str">
        <f t="shared" si="56"/>
        <v>PSI</v>
      </c>
      <c r="I1798">
        <f t="shared" si="57"/>
        <v>14.674918303542567</v>
      </c>
    </row>
    <row r="1799" spans="1:9" x14ac:dyDescent="0.2">
      <c r="A1799">
        <v>521675</v>
      </c>
      <c r="B1799" t="s">
        <v>16</v>
      </c>
      <c r="C1799" t="s">
        <v>8</v>
      </c>
      <c r="D1799" t="s">
        <v>17</v>
      </c>
      <c r="E1799" t="s">
        <v>18</v>
      </c>
      <c r="F1799" t="s">
        <v>18</v>
      </c>
      <c r="G1799" t="s">
        <v>18</v>
      </c>
      <c r="H1799" t="e">
        <f t="shared" si="56"/>
        <v>#VALUE!</v>
      </c>
      <c r="I1799" t="str">
        <f t="shared" si="57"/>
        <v>-</v>
      </c>
    </row>
    <row r="1800" spans="1:9" x14ac:dyDescent="0.2">
      <c r="A1800">
        <v>521877</v>
      </c>
      <c r="B1800" t="s">
        <v>19</v>
      </c>
      <c r="C1800" t="s">
        <v>8</v>
      </c>
      <c r="D1800" t="s">
        <v>20</v>
      </c>
      <c r="E1800">
        <v>12791</v>
      </c>
      <c r="F1800">
        <v>999.3</v>
      </c>
      <c r="G1800" t="s">
        <v>15</v>
      </c>
      <c r="H1800" t="str">
        <f t="shared" si="56"/>
        <v>PSI</v>
      </c>
      <c r="I1800">
        <f t="shared" si="57"/>
        <v>14.493621131379806</v>
      </c>
    </row>
    <row r="1801" spans="1:9" x14ac:dyDescent="0.2">
      <c r="A1801">
        <v>522089</v>
      </c>
      <c r="B1801" t="s">
        <v>21</v>
      </c>
      <c r="C1801" t="s">
        <v>8</v>
      </c>
      <c r="D1801" t="s">
        <v>22</v>
      </c>
      <c r="E1801">
        <v>6497</v>
      </c>
      <c r="F1801">
        <v>1624.25</v>
      </c>
      <c r="G1801" t="s">
        <v>23</v>
      </c>
      <c r="H1801" t="e">
        <f t="shared" si="56"/>
        <v>#VALUE!</v>
      </c>
      <c r="I1801" t="str">
        <f t="shared" si="57"/>
        <v>-</v>
      </c>
    </row>
    <row r="1802" spans="1:9" x14ac:dyDescent="0.2">
      <c r="A1802">
        <v>522281</v>
      </c>
      <c r="B1802" t="s">
        <v>24</v>
      </c>
      <c r="C1802" t="s">
        <v>8</v>
      </c>
      <c r="D1802" t="s">
        <v>25</v>
      </c>
      <c r="E1802">
        <v>1</v>
      </c>
      <c r="F1802">
        <v>1</v>
      </c>
      <c r="G1802" t="s">
        <v>26</v>
      </c>
      <c r="H1802" t="e">
        <f t="shared" si="56"/>
        <v>#VALUE!</v>
      </c>
      <c r="I1802" t="str">
        <f t="shared" si="57"/>
        <v>-</v>
      </c>
    </row>
    <row r="1803" spans="1:9" x14ac:dyDescent="0.2">
      <c r="A1803">
        <v>522493</v>
      </c>
      <c r="B1803" t="s">
        <v>27</v>
      </c>
      <c r="C1803" t="s">
        <v>8</v>
      </c>
      <c r="D1803" t="s">
        <v>28</v>
      </c>
      <c r="E1803">
        <v>595</v>
      </c>
      <c r="F1803">
        <v>13.97</v>
      </c>
      <c r="G1803" t="s">
        <v>29</v>
      </c>
      <c r="H1803" t="e">
        <f t="shared" si="56"/>
        <v>#VALUE!</v>
      </c>
      <c r="I1803" t="str">
        <f t="shared" si="57"/>
        <v>-</v>
      </c>
    </row>
    <row r="1804" spans="1:9" x14ac:dyDescent="0.2">
      <c r="A1804">
        <v>522705</v>
      </c>
      <c r="B1804" t="s">
        <v>30</v>
      </c>
      <c r="C1804" t="s">
        <v>8</v>
      </c>
      <c r="D1804" t="s">
        <v>31</v>
      </c>
      <c r="E1804">
        <v>3381</v>
      </c>
      <c r="F1804">
        <v>3381</v>
      </c>
      <c r="G1804" t="s">
        <v>15</v>
      </c>
      <c r="H1804" t="str">
        <f t="shared" si="56"/>
        <v>PSI</v>
      </c>
      <c r="I1804">
        <f t="shared" si="57"/>
        <v>49.037259126583734</v>
      </c>
    </row>
    <row r="1805" spans="1:9" x14ac:dyDescent="0.2">
      <c r="A1805">
        <v>522917</v>
      </c>
      <c r="B1805" t="s">
        <v>32</v>
      </c>
      <c r="C1805" t="s">
        <v>8</v>
      </c>
      <c r="D1805" t="s">
        <v>33</v>
      </c>
      <c r="E1805">
        <v>16</v>
      </c>
      <c r="F1805">
        <v>0</v>
      </c>
      <c r="G1805" t="s">
        <v>26</v>
      </c>
      <c r="H1805" t="e">
        <f t="shared" si="56"/>
        <v>#VALUE!</v>
      </c>
      <c r="I1805" t="str">
        <f t="shared" si="57"/>
        <v>-</v>
      </c>
    </row>
    <row r="1806" spans="1:9" x14ac:dyDescent="0.2">
      <c r="A1806">
        <v>523129</v>
      </c>
      <c r="B1806" t="s">
        <v>34</v>
      </c>
      <c r="C1806" t="s">
        <v>8</v>
      </c>
      <c r="D1806" t="s">
        <v>35</v>
      </c>
      <c r="E1806">
        <v>3748</v>
      </c>
      <c r="F1806">
        <v>0.92</v>
      </c>
      <c r="G1806" t="s">
        <v>26</v>
      </c>
      <c r="H1806" t="e">
        <f t="shared" si="56"/>
        <v>#VALUE!</v>
      </c>
      <c r="I1806" t="str">
        <f t="shared" si="57"/>
        <v>-</v>
      </c>
    </row>
    <row r="1807" spans="1:9" x14ac:dyDescent="0.2">
      <c r="A1807">
        <v>523511</v>
      </c>
      <c r="B1807" t="s">
        <v>36</v>
      </c>
      <c r="C1807" t="s">
        <v>8</v>
      </c>
      <c r="D1807" t="s">
        <v>37</v>
      </c>
      <c r="E1807" t="s">
        <v>18</v>
      </c>
      <c r="F1807" t="s">
        <v>18</v>
      </c>
      <c r="G1807" t="s">
        <v>18</v>
      </c>
      <c r="H1807" t="e">
        <f t="shared" si="56"/>
        <v>#VALUE!</v>
      </c>
      <c r="I1807" t="str">
        <f t="shared" si="57"/>
        <v>-</v>
      </c>
    </row>
    <row r="1808" spans="1:9" x14ac:dyDescent="0.2">
      <c r="A1808">
        <v>523893</v>
      </c>
      <c r="B1808" t="s">
        <v>38</v>
      </c>
      <c r="C1808" t="s">
        <v>8</v>
      </c>
      <c r="D1808" t="s">
        <v>39</v>
      </c>
      <c r="E1808" t="s">
        <v>18</v>
      </c>
      <c r="F1808" t="s">
        <v>18</v>
      </c>
      <c r="G1808" t="s">
        <v>18</v>
      </c>
      <c r="H1808" t="e">
        <f t="shared" si="56"/>
        <v>#VALUE!</v>
      </c>
      <c r="I1808" t="str">
        <f t="shared" si="57"/>
        <v>-</v>
      </c>
    </row>
    <row r="1809" spans="1:9" x14ac:dyDescent="0.2">
      <c r="A1809">
        <v>524275</v>
      </c>
      <c r="B1809" t="s">
        <v>40</v>
      </c>
      <c r="C1809" t="s">
        <v>8</v>
      </c>
      <c r="D1809" t="s">
        <v>41</v>
      </c>
      <c r="E1809" t="s">
        <v>18</v>
      </c>
      <c r="F1809" t="s">
        <v>18</v>
      </c>
      <c r="G1809" t="s">
        <v>18</v>
      </c>
      <c r="H1809" t="e">
        <f t="shared" si="56"/>
        <v>#VALUE!</v>
      </c>
      <c r="I1809" t="str">
        <f t="shared" si="57"/>
        <v>-</v>
      </c>
    </row>
    <row r="1810" spans="1:9" x14ac:dyDescent="0.2">
      <c r="A1810">
        <v>524477</v>
      </c>
      <c r="B1810" t="s">
        <v>42</v>
      </c>
      <c r="C1810" t="s">
        <v>8</v>
      </c>
      <c r="D1810" t="s">
        <v>43</v>
      </c>
      <c r="E1810">
        <v>10737</v>
      </c>
      <c r="F1810">
        <v>5.37</v>
      </c>
      <c r="G1810" t="s">
        <v>44</v>
      </c>
      <c r="H1810" t="str">
        <f t="shared" si="56"/>
        <v>PSI</v>
      </c>
      <c r="I1810">
        <f t="shared" si="57"/>
        <v>778.85265161122345</v>
      </c>
    </row>
    <row r="1811" spans="1:9" x14ac:dyDescent="0.2">
      <c r="A1811">
        <v>524659</v>
      </c>
      <c r="B1811" t="s">
        <v>45</v>
      </c>
      <c r="C1811" t="s">
        <v>8</v>
      </c>
      <c r="D1811" t="s">
        <v>46</v>
      </c>
      <c r="E1811">
        <v>1</v>
      </c>
      <c r="F1811">
        <v>1</v>
      </c>
      <c r="G1811" t="s">
        <v>15</v>
      </c>
      <c r="H1811" t="str">
        <f t="shared" si="56"/>
        <v>PSI</v>
      </c>
      <c r="I1811">
        <f t="shared" si="57"/>
        <v>1.4503773773020921E-2</v>
      </c>
    </row>
    <row r="1812" spans="1:9" x14ac:dyDescent="0.2">
      <c r="A1812">
        <v>524891</v>
      </c>
      <c r="B1812" t="s">
        <v>47</v>
      </c>
      <c r="C1812" t="s">
        <v>8</v>
      </c>
      <c r="D1812" t="s">
        <v>48</v>
      </c>
      <c r="E1812">
        <v>4908</v>
      </c>
      <c r="F1812">
        <v>490.8</v>
      </c>
      <c r="G1812" t="s">
        <v>49</v>
      </c>
      <c r="H1812" t="e">
        <f t="shared" si="56"/>
        <v>#VALUE!</v>
      </c>
      <c r="I1812" t="str">
        <f t="shared" si="57"/>
        <v>-</v>
      </c>
    </row>
    <row r="1813" spans="1:9" x14ac:dyDescent="0.2">
      <c r="A1813">
        <v>525103</v>
      </c>
      <c r="B1813" t="s">
        <v>50</v>
      </c>
      <c r="C1813" t="s">
        <v>8</v>
      </c>
      <c r="D1813" t="s">
        <v>51</v>
      </c>
      <c r="E1813">
        <v>24241</v>
      </c>
      <c r="F1813">
        <v>946.91</v>
      </c>
      <c r="G1813" t="s">
        <v>15</v>
      </c>
      <c r="H1813" t="str">
        <f t="shared" si="56"/>
        <v>PSI</v>
      </c>
      <c r="I1813">
        <f t="shared" si="57"/>
        <v>13.73376842341124</v>
      </c>
    </row>
    <row r="1814" spans="1:9" x14ac:dyDescent="0.2">
      <c r="A1814">
        <v>525296</v>
      </c>
      <c r="B1814" t="s">
        <v>52</v>
      </c>
      <c r="C1814" t="s">
        <v>8</v>
      </c>
      <c r="D1814" t="s">
        <v>53</v>
      </c>
      <c r="E1814">
        <v>91</v>
      </c>
      <c r="F1814">
        <v>20.25</v>
      </c>
      <c r="G1814" t="s">
        <v>10</v>
      </c>
      <c r="H1814" t="e">
        <f t="shared" si="56"/>
        <v>#VALUE!</v>
      </c>
      <c r="I1814" t="str">
        <f t="shared" si="57"/>
        <v>-</v>
      </c>
    </row>
    <row r="1815" spans="1:9" x14ac:dyDescent="0.2">
      <c r="A1815">
        <v>525478</v>
      </c>
      <c r="B1815" t="s">
        <v>54</v>
      </c>
      <c r="C1815" t="s">
        <v>8</v>
      </c>
      <c r="D1815" t="s">
        <v>55</v>
      </c>
      <c r="E1815">
        <v>3</v>
      </c>
      <c r="F1815">
        <v>12</v>
      </c>
      <c r="G1815" t="s">
        <v>56</v>
      </c>
      <c r="H1815" t="e">
        <f t="shared" si="56"/>
        <v>#VALUE!</v>
      </c>
      <c r="I1815" t="str">
        <f t="shared" si="57"/>
        <v>-</v>
      </c>
    </row>
    <row r="1816" spans="1:9" x14ac:dyDescent="0.2">
      <c r="A1816">
        <v>525850</v>
      </c>
      <c r="B1816" t="s">
        <v>57</v>
      </c>
      <c r="C1816" t="s">
        <v>8</v>
      </c>
      <c r="D1816" t="s">
        <v>58</v>
      </c>
      <c r="E1816" t="s">
        <v>18</v>
      </c>
      <c r="F1816" t="s">
        <v>18</v>
      </c>
      <c r="G1816" t="s">
        <v>18</v>
      </c>
      <c r="H1816" t="e">
        <f t="shared" si="56"/>
        <v>#VALUE!</v>
      </c>
      <c r="I1816" t="str">
        <f t="shared" si="57"/>
        <v>-</v>
      </c>
    </row>
    <row r="1817" spans="1:9" x14ac:dyDescent="0.2">
      <c r="A1817">
        <v>526242</v>
      </c>
      <c r="B1817" t="s">
        <v>59</v>
      </c>
      <c r="C1817" t="s">
        <v>8</v>
      </c>
      <c r="D1817" t="s">
        <v>60</v>
      </c>
      <c r="E1817" t="s">
        <v>18</v>
      </c>
      <c r="F1817" t="s">
        <v>18</v>
      </c>
      <c r="G1817" t="s">
        <v>18</v>
      </c>
      <c r="H1817" t="e">
        <f t="shared" si="56"/>
        <v>#VALUE!</v>
      </c>
      <c r="I1817" t="str">
        <f t="shared" si="57"/>
        <v>-</v>
      </c>
    </row>
    <row r="1818" spans="1:9" x14ac:dyDescent="0.2">
      <c r="A1818">
        <v>526624</v>
      </c>
      <c r="B1818" t="s">
        <v>61</v>
      </c>
      <c r="C1818" t="s">
        <v>8</v>
      </c>
      <c r="D1818" t="s">
        <v>62</v>
      </c>
      <c r="E1818" t="s">
        <v>18</v>
      </c>
      <c r="F1818" t="s">
        <v>18</v>
      </c>
      <c r="G1818" t="s">
        <v>18</v>
      </c>
      <c r="H1818" t="e">
        <f t="shared" si="56"/>
        <v>#VALUE!</v>
      </c>
      <c r="I1818" t="str">
        <f t="shared" si="57"/>
        <v>-</v>
      </c>
    </row>
    <row r="1819" spans="1:9" x14ac:dyDescent="0.2">
      <c r="A1819">
        <v>527006</v>
      </c>
      <c r="B1819" t="s">
        <v>63</v>
      </c>
      <c r="C1819" t="s">
        <v>8</v>
      </c>
      <c r="D1819" t="s">
        <v>64</v>
      </c>
      <c r="E1819" t="s">
        <v>18</v>
      </c>
      <c r="F1819" t="s">
        <v>18</v>
      </c>
      <c r="G1819" t="s">
        <v>18</v>
      </c>
      <c r="H1819" t="e">
        <f t="shared" si="56"/>
        <v>#VALUE!</v>
      </c>
      <c r="I1819" t="str">
        <f t="shared" si="57"/>
        <v>-</v>
      </c>
    </row>
    <row r="1820" spans="1:9" x14ac:dyDescent="0.2">
      <c r="A1820">
        <v>527259</v>
      </c>
      <c r="B1820" t="s">
        <v>65</v>
      </c>
      <c r="C1820" t="s">
        <v>8</v>
      </c>
      <c r="D1820" t="s">
        <v>66</v>
      </c>
      <c r="E1820">
        <v>29681</v>
      </c>
      <c r="F1820">
        <v>3.62</v>
      </c>
      <c r="G1820" t="s">
        <v>67</v>
      </c>
      <c r="H1820" t="e">
        <f t="shared" si="56"/>
        <v>#VALUE!</v>
      </c>
      <c r="I1820" t="str">
        <f t="shared" si="57"/>
        <v>-</v>
      </c>
    </row>
    <row r="1821" spans="1:9" x14ac:dyDescent="0.2">
      <c r="A1821">
        <v>527641</v>
      </c>
      <c r="B1821" t="s">
        <v>68</v>
      </c>
      <c r="C1821" t="s">
        <v>8</v>
      </c>
      <c r="D1821" t="s">
        <v>69</v>
      </c>
      <c r="E1821" t="s">
        <v>18</v>
      </c>
      <c r="F1821" t="s">
        <v>18</v>
      </c>
      <c r="G1821" t="s">
        <v>18</v>
      </c>
      <c r="H1821" t="e">
        <f t="shared" si="56"/>
        <v>#VALUE!</v>
      </c>
      <c r="I1821" t="str">
        <f t="shared" si="57"/>
        <v>-</v>
      </c>
    </row>
    <row r="1822" spans="1:9" x14ac:dyDescent="0.2">
      <c r="A1822">
        <v>527843</v>
      </c>
      <c r="B1822" t="s">
        <v>7</v>
      </c>
      <c r="C1822" t="s">
        <v>8</v>
      </c>
      <c r="D1822" t="s">
        <v>9</v>
      </c>
      <c r="E1822">
        <v>165</v>
      </c>
      <c r="F1822">
        <v>105</v>
      </c>
      <c r="G1822" t="s">
        <v>10</v>
      </c>
      <c r="H1822" t="e">
        <f t="shared" si="56"/>
        <v>#VALUE!</v>
      </c>
      <c r="I1822" t="str">
        <f t="shared" si="57"/>
        <v>-</v>
      </c>
    </row>
    <row r="1823" spans="1:9" x14ac:dyDescent="0.2">
      <c r="A1823">
        <v>528034</v>
      </c>
      <c r="B1823" t="s">
        <v>11</v>
      </c>
      <c r="C1823" t="s">
        <v>8</v>
      </c>
      <c r="D1823" t="s">
        <v>12</v>
      </c>
      <c r="E1823">
        <v>205</v>
      </c>
      <c r="F1823">
        <v>105.75</v>
      </c>
      <c r="G1823" t="s">
        <v>10</v>
      </c>
      <c r="H1823" t="e">
        <f t="shared" si="56"/>
        <v>#VALUE!</v>
      </c>
      <c r="I1823" t="str">
        <f t="shared" si="57"/>
        <v>-</v>
      </c>
    </row>
    <row r="1824" spans="1:9" x14ac:dyDescent="0.2">
      <c r="A1824">
        <v>528256</v>
      </c>
      <c r="B1824" t="s">
        <v>13</v>
      </c>
      <c r="C1824" t="s">
        <v>8</v>
      </c>
      <c r="D1824" t="s">
        <v>14</v>
      </c>
      <c r="E1824">
        <v>25902</v>
      </c>
      <c r="F1824">
        <v>1011.8</v>
      </c>
      <c r="G1824" t="s">
        <v>15</v>
      </c>
      <c r="H1824" t="str">
        <f t="shared" si="56"/>
        <v>PSI</v>
      </c>
      <c r="I1824">
        <f t="shared" si="57"/>
        <v>14.674918303542567</v>
      </c>
    </row>
    <row r="1825" spans="1:9" x14ac:dyDescent="0.2">
      <c r="A1825">
        <v>528638</v>
      </c>
      <c r="B1825" t="s">
        <v>16</v>
      </c>
      <c r="C1825" t="s">
        <v>8</v>
      </c>
      <c r="D1825" t="s">
        <v>17</v>
      </c>
      <c r="E1825" t="s">
        <v>18</v>
      </c>
      <c r="F1825" t="s">
        <v>18</v>
      </c>
      <c r="G1825" t="s">
        <v>18</v>
      </c>
      <c r="H1825" t="e">
        <f t="shared" si="56"/>
        <v>#VALUE!</v>
      </c>
      <c r="I1825" t="str">
        <f t="shared" si="57"/>
        <v>-</v>
      </c>
    </row>
    <row r="1826" spans="1:9" x14ac:dyDescent="0.2">
      <c r="A1826">
        <v>528850</v>
      </c>
      <c r="B1826" t="s">
        <v>19</v>
      </c>
      <c r="C1826" t="s">
        <v>8</v>
      </c>
      <c r="D1826" t="s">
        <v>20</v>
      </c>
      <c r="E1826">
        <v>12901</v>
      </c>
      <c r="F1826">
        <v>1007.89</v>
      </c>
      <c r="G1826" t="s">
        <v>15</v>
      </c>
      <c r="H1826" t="str">
        <f t="shared" si="56"/>
        <v>PSI</v>
      </c>
      <c r="I1826">
        <f t="shared" si="57"/>
        <v>14.618208548090056</v>
      </c>
    </row>
    <row r="1827" spans="1:9" x14ac:dyDescent="0.2">
      <c r="A1827">
        <v>529063</v>
      </c>
      <c r="B1827" t="s">
        <v>21</v>
      </c>
      <c r="C1827" t="s">
        <v>8</v>
      </c>
      <c r="D1827" t="s">
        <v>22</v>
      </c>
      <c r="E1827">
        <v>3313</v>
      </c>
      <c r="F1827">
        <v>828.25</v>
      </c>
      <c r="G1827" t="s">
        <v>23</v>
      </c>
      <c r="H1827" t="e">
        <f t="shared" si="56"/>
        <v>#VALUE!</v>
      </c>
      <c r="I1827" t="str">
        <f t="shared" si="57"/>
        <v>-</v>
      </c>
    </row>
    <row r="1828" spans="1:9" x14ac:dyDescent="0.2">
      <c r="A1828">
        <v>529255</v>
      </c>
      <c r="B1828" t="s">
        <v>24</v>
      </c>
      <c r="C1828" t="s">
        <v>8</v>
      </c>
      <c r="D1828" t="s">
        <v>25</v>
      </c>
      <c r="E1828">
        <v>1</v>
      </c>
      <c r="F1828">
        <v>1</v>
      </c>
      <c r="G1828" t="s">
        <v>26</v>
      </c>
      <c r="H1828" t="e">
        <f t="shared" si="56"/>
        <v>#VALUE!</v>
      </c>
      <c r="I1828" t="str">
        <f t="shared" si="57"/>
        <v>-</v>
      </c>
    </row>
    <row r="1829" spans="1:9" x14ac:dyDescent="0.2">
      <c r="A1829">
        <v>529467</v>
      </c>
      <c r="B1829" t="s">
        <v>27</v>
      </c>
      <c r="C1829" t="s">
        <v>8</v>
      </c>
      <c r="D1829" t="s">
        <v>28</v>
      </c>
      <c r="E1829">
        <v>600</v>
      </c>
      <c r="F1829">
        <v>14.09</v>
      </c>
      <c r="G1829" t="s">
        <v>29</v>
      </c>
      <c r="H1829" t="e">
        <f t="shared" si="56"/>
        <v>#VALUE!</v>
      </c>
      <c r="I1829" t="str">
        <f t="shared" si="57"/>
        <v>-</v>
      </c>
    </row>
    <row r="1830" spans="1:9" x14ac:dyDescent="0.2">
      <c r="A1830">
        <v>529669</v>
      </c>
      <c r="B1830" t="s">
        <v>30</v>
      </c>
      <c r="C1830" t="s">
        <v>8</v>
      </c>
      <c r="D1830" t="s">
        <v>31</v>
      </c>
      <c r="E1830">
        <v>2759</v>
      </c>
      <c r="F1830">
        <v>2759</v>
      </c>
      <c r="G1830" t="s">
        <v>15</v>
      </c>
      <c r="H1830" t="str">
        <f t="shared" si="56"/>
        <v>PSI</v>
      </c>
      <c r="I1830">
        <f t="shared" si="57"/>
        <v>40.015911839764719</v>
      </c>
    </row>
    <row r="1831" spans="1:9" x14ac:dyDescent="0.2">
      <c r="A1831">
        <v>529881</v>
      </c>
      <c r="B1831" t="s">
        <v>32</v>
      </c>
      <c r="C1831" t="s">
        <v>8</v>
      </c>
      <c r="D1831" t="s">
        <v>33</v>
      </c>
      <c r="E1831">
        <v>4095</v>
      </c>
      <c r="F1831">
        <v>1</v>
      </c>
      <c r="G1831" t="s">
        <v>26</v>
      </c>
      <c r="H1831" t="e">
        <f t="shared" si="56"/>
        <v>#VALUE!</v>
      </c>
      <c r="I1831" t="str">
        <f t="shared" si="57"/>
        <v>-</v>
      </c>
    </row>
    <row r="1832" spans="1:9" x14ac:dyDescent="0.2">
      <c r="A1832">
        <v>530103</v>
      </c>
      <c r="B1832" t="s">
        <v>34</v>
      </c>
      <c r="C1832" t="s">
        <v>8</v>
      </c>
      <c r="D1832" t="s">
        <v>35</v>
      </c>
      <c r="E1832">
        <v>4058</v>
      </c>
      <c r="F1832">
        <v>0.99</v>
      </c>
      <c r="G1832" t="s">
        <v>26</v>
      </c>
      <c r="H1832" t="e">
        <f t="shared" si="56"/>
        <v>#VALUE!</v>
      </c>
      <c r="I1832" t="str">
        <f t="shared" si="57"/>
        <v>-</v>
      </c>
    </row>
    <row r="1833" spans="1:9" x14ac:dyDescent="0.2">
      <c r="A1833">
        <v>530486</v>
      </c>
      <c r="B1833" t="s">
        <v>36</v>
      </c>
      <c r="C1833" t="s">
        <v>8</v>
      </c>
      <c r="D1833" t="s">
        <v>37</v>
      </c>
      <c r="E1833" t="s">
        <v>18</v>
      </c>
      <c r="F1833" t="s">
        <v>18</v>
      </c>
      <c r="G1833" t="s">
        <v>18</v>
      </c>
      <c r="H1833" t="e">
        <f t="shared" si="56"/>
        <v>#VALUE!</v>
      </c>
      <c r="I1833" t="str">
        <f t="shared" si="57"/>
        <v>-</v>
      </c>
    </row>
    <row r="1834" spans="1:9" x14ac:dyDescent="0.2">
      <c r="A1834">
        <v>530878</v>
      </c>
      <c r="B1834" t="s">
        <v>38</v>
      </c>
      <c r="C1834" t="s">
        <v>8</v>
      </c>
      <c r="D1834" t="s">
        <v>39</v>
      </c>
      <c r="E1834" t="s">
        <v>18</v>
      </c>
      <c r="F1834" t="s">
        <v>18</v>
      </c>
      <c r="G1834" t="s">
        <v>18</v>
      </c>
      <c r="H1834" t="e">
        <f t="shared" si="56"/>
        <v>#VALUE!</v>
      </c>
      <c r="I1834" t="str">
        <f t="shared" si="57"/>
        <v>-</v>
      </c>
    </row>
    <row r="1835" spans="1:9" x14ac:dyDescent="0.2">
      <c r="A1835">
        <v>531260</v>
      </c>
      <c r="B1835" t="s">
        <v>40</v>
      </c>
      <c r="C1835" t="s">
        <v>8</v>
      </c>
      <c r="D1835" t="s">
        <v>41</v>
      </c>
      <c r="E1835" t="s">
        <v>18</v>
      </c>
      <c r="F1835" t="s">
        <v>18</v>
      </c>
      <c r="G1835" t="s">
        <v>18</v>
      </c>
      <c r="H1835" t="e">
        <f t="shared" si="56"/>
        <v>#VALUE!</v>
      </c>
      <c r="I1835" t="str">
        <f t="shared" si="57"/>
        <v>-</v>
      </c>
    </row>
    <row r="1836" spans="1:9" x14ac:dyDescent="0.2">
      <c r="A1836">
        <v>531472</v>
      </c>
      <c r="B1836" t="s">
        <v>42</v>
      </c>
      <c r="C1836" t="s">
        <v>8</v>
      </c>
      <c r="D1836" t="s">
        <v>43</v>
      </c>
      <c r="E1836">
        <v>10751</v>
      </c>
      <c r="F1836">
        <v>5.38</v>
      </c>
      <c r="G1836" t="s">
        <v>44</v>
      </c>
      <c r="H1836" t="str">
        <f t="shared" si="56"/>
        <v>PSI</v>
      </c>
      <c r="I1836">
        <f t="shared" si="57"/>
        <v>780.30302898852551</v>
      </c>
    </row>
    <row r="1837" spans="1:9" x14ac:dyDescent="0.2">
      <c r="A1837">
        <v>531674</v>
      </c>
      <c r="B1837" t="s">
        <v>45</v>
      </c>
      <c r="C1837" t="s">
        <v>8</v>
      </c>
      <c r="D1837" t="s">
        <v>46</v>
      </c>
      <c r="E1837">
        <v>1</v>
      </c>
      <c r="F1837">
        <v>1</v>
      </c>
      <c r="G1837" t="s">
        <v>15</v>
      </c>
      <c r="H1837" t="str">
        <f t="shared" si="56"/>
        <v>PSI</v>
      </c>
      <c r="I1837">
        <f t="shared" si="57"/>
        <v>1.4503773773020921E-2</v>
      </c>
    </row>
    <row r="1838" spans="1:9" x14ac:dyDescent="0.2">
      <c r="A1838">
        <v>531896</v>
      </c>
      <c r="B1838" t="s">
        <v>47</v>
      </c>
      <c r="C1838" t="s">
        <v>8</v>
      </c>
      <c r="D1838" t="s">
        <v>48</v>
      </c>
      <c r="E1838">
        <v>4978</v>
      </c>
      <c r="F1838">
        <v>497.8</v>
      </c>
      <c r="G1838" t="s">
        <v>49</v>
      </c>
      <c r="H1838" t="e">
        <f t="shared" si="56"/>
        <v>#VALUE!</v>
      </c>
      <c r="I1838" t="str">
        <f t="shared" si="57"/>
        <v>-</v>
      </c>
    </row>
    <row r="1839" spans="1:9" x14ac:dyDescent="0.2">
      <c r="A1839">
        <v>532109</v>
      </c>
      <c r="B1839" t="s">
        <v>50</v>
      </c>
      <c r="C1839" t="s">
        <v>8</v>
      </c>
      <c r="D1839" t="s">
        <v>51</v>
      </c>
      <c r="E1839">
        <v>23972</v>
      </c>
      <c r="F1839">
        <v>936.41</v>
      </c>
      <c r="G1839" t="s">
        <v>15</v>
      </c>
      <c r="H1839" t="str">
        <f t="shared" si="56"/>
        <v>PSI</v>
      </c>
      <c r="I1839">
        <f t="shared" si="57"/>
        <v>13.581478798794521</v>
      </c>
    </row>
    <row r="1840" spans="1:9" x14ac:dyDescent="0.2">
      <c r="A1840">
        <v>532301</v>
      </c>
      <c r="B1840" t="s">
        <v>52</v>
      </c>
      <c r="C1840" t="s">
        <v>8</v>
      </c>
      <c r="D1840" t="s">
        <v>53</v>
      </c>
      <c r="E1840">
        <v>92</v>
      </c>
      <c r="F1840">
        <v>21</v>
      </c>
      <c r="G1840" t="s">
        <v>10</v>
      </c>
      <c r="H1840" t="e">
        <f t="shared" si="56"/>
        <v>#VALUE!</v>
      </c>
      <c r="I1840" t="str">
        <f t="shared" si="57"/>
        <v>-</v>
      </c>
    </row>
    <row r="1841" spans="1:9" x14ac:dyDescent="0.2">
      <c r="A1841">
        <v>532503</v>
      </c>
      <c r="B1841" t="s">
        <v>54</v>
      </c>
      <c r="C1841" t="s">
        <v>8</v>
      </c>
      <c r="D1841" t="s">
        <v>55</v>
      </c>
      <c r="E1841">
        <v>2</v>
      </c>
      <c r="F1841">
        <v>8</v>
      </c>
      <c r="G1841" t="s">
        <v>56</v>
      </c>
      <c r="H1841" t="e">
        <f t="shared" si="56"/>
        <v>#VALUE!</v>
      </c>
      <c r="I1841" t="str">
        <f t="shared" si="57"/>
        <v>-</v>
      </c>
    </row>
    <row r="1842" spans="1:9" x14ac:dyDescent="0.2">
      <c r="A1842">
        <v>532895</v>
      </c>
      <c r="B1842" t="s">
        <v>57</v>
      </c>
      <c r="C1842" t="s">
        <v>8</v>
      </c>
      <c r="D1842" t="s">
        <v>58</v>
      </c>
      <c r="E1842" t="s">
        <v>18</v>
      </c>
      <c r="F1842" t="s">
        <v>18</v>
      </c>
      <c r="G1842" t="s">
        <v>18</v>
      </c>
      <c r="H1842" t="e">
        <f t="shared" si="56"/>
        <v>#VALUE!</v>
      </c>
      <c r="I1842" t="str">
        <f t="shared" si="57"/>
        <v>-</v>
      </c>
    </row>
    <row r="1843" spans="1:9" x14ac:dyDescent="0.2">
      <c r="A1843">
        <v>533267</v>
      </c>
      <c r="B1843" t="s">
        <v>59</v>
      </c>
      <c r="C1843" t="s">
        <v>8</v>
      </c>
      <c r="D1843" t="s">
        <v>60</v>
      </c>
      <c r="E1843" t="s">
        <v>18</v>
      </c>
      <c r="F1843" t="s">
        <v>18</v>
      </c>
      <c r="G1843" t="s">
        <v>18</v>
      </c>
      <c r="H1843" t="e">
        <f t="shared" si="56"/>
        <v>#VALUE!</v>
      </c>
      <c r="I1843" t="str">
        <f t="shared" si="57"/>
        <v>-</v>
      </c>
    </row>
    <row r="1844" spans="1:9" x14ac:dyDescent="0.2">
      <c r="A1844">
        <v>533649</v>
      </c>
      <c r="B1844" t="s">
        <v>61</v>
      </c>
      <c r="C1844" t="s">
        <v>8</v>
      </c>
      <c r="D1844" t="s">
        <v>62</v>
      </c>
      <c r="E1844" t="s">
        <v>18</v>
      </c>
      <c r="F1844" t="s">
        <v>18</v>
      </c>
      <c r="G1844" t="s">
        <v>18</v>
      </c>
      <c r="H1844" t="e">
        <f t="shared" si="56"/>
        <v>#VALUE!</v>
      </c>
      <c r="I1844" t="str">
        <f t="shared" si="57"/>
        <v>-</v>
      </c>
    </row>
    <row r="1845" spans="1:9" x14ac:dyDescent="0.2">
      <c r="A1845">
        <v>534031</v>
      </c>
      <c r="B1845" t="s">
        <v>63</v>
      </c>
      <c r="C1845" t="s">
        <v>8</v>
      </c>
      <c r="D1845" t="s">
        <v>64</v>
      </c>
      <c r="E1845" t="s">
        <v>18</v>
      </c>
      <c r="F1845" t="s">
        <v>18</v>
      </c>
      <c r="G1845" t="s">
        <v>18</v>
      </c>
      <c r="H1845" t="e">
        <f t="shared" si="56"/>
        <v>#VALUE!</v>
      </c>
      <c r="I1845" t="str">
        <f t="shared" si="57"/>
        <v>-</v>
      </c>
    </row>
    <row r="1846" spans="1:9" x14ac:dyDescent="0.2">
      <c r="A1846">
        <v>534283</v>
      </c>
      <c r="B1846" t="s">
        <v>65</v>
      </c>
      <c r="C1846" t="s">
        <v>8</v>
      </c>
      <c r="D1846" t="s">
        <v>66</v>
      </c>
      <c r="E1846">
        <v>29692</v>
      </c>
      <c r="F1846">
        <v>3.62</v>
      </c>
      <c r="G1846" t="s">
        <v>67</v>
      </c>
      <c r="H1846" t="e">
        <f t="shared" si="56"/>
        <v>#VALUE!</v>
      </c>
      <c r="I1846" t="str">
        <f t="shared" si="57"/>
        <v>-</v>
      </c>
    </row>
    <row r="1847" spans="1:9" x14ac:dyDescent="0.2">
      <c r="A1847">
        <v>534665</v>
      </c>
      <c r="B1847" t="s">
        <v>68</v>
      </c>
      <c r="C1847" t="s">
        <v>8</v>
      </c>
      <c r="D1847" t="s">
        <v>69</v>
      </c>
      <c r="E1847" t="s">
        <v>18</v>
      </c>
      <c r="F1847" t="s">
        <v>18</v>
      </c>
      <c r="G1847" t="s">
        <v>18</v>
      </c>
      <c r="H1847" t="e">
        <f t="shared" si="56"/>
        <v>#VALUE!</v>
      </c>
      <c r="I1847" t="str">
        <f t="shared" si="57"/>
        <v>-</v>
      </c>
    </row>
    <row r="1848" spans="1:9" x14ac:dyDescent="0.2">
      <c r="A1848">
        <v>534887</v>
      </c>
      <c r="B1848" t="s">
        <v>7</v>
      </c>
      <c r="C1848" t="s">
        <v>8</v>
      </c>
      <c r="D1848" t="s">
        <v>9</v>
      </c>
      <c r="E1848">
        <v>165</v>
      </c>
      <c r="F1848">
        <v>105</v>
      </c>
      <c r="G1848" t="s">
        <v>10</v>
      </c>
      <c r="H1848" t="e">
        <f t="shared" si="56"/>
        <v>#VALUE!</v>
      </c>
      <c r="I1848" t="str">
        <f t="shared" si="57"/>
        <v>-</v>
      </c>
    </row>
    <row r="1849" spans="1:9" x14ac:dyDescent="0.2">
      <c r="A1849">
        <v>535089</v>
      </c>
      <c r="B1849" t="s">
        <v>11</v>
      </c>
      <c r="C1849" t="s">
        <v>8</v>
      </c>
      <c r="D1849" t="s">
        <v>12</v>
      </c>
      <c r="E1849">
        <v>206</v>
      </c>
      <c r="F1849">
        <v>106.5</v>
      </c>
      <c r="G1849" t="s">
        <v>10</v>
      </c>
      <c r="H1849" t="e">
        <f t="shared" si="56"/>
        <v>#VALUE!</v>
      </c>
      <c r="I1849" t="str">
        <f t="shared" si="57"/>
        <v>-</v>
      </c>
    </row>
    <row r="1850" spans="1:9" x14ac:dyDescent="0.2">
      <c r="A1850">
        <v>535301</v>
      </c>
      <c r="B1850" t="s">
        <v>13</v>
      </c>
      <c r="C1850" t="s">
        <v>8</v>
      </c>
      <c r="D1850" t="s">
        <v>14</v>
      </c>
      <c r="E1850">
        <v>25902</v>
      </c>
      <c r="F1850">
        <v>1011.8</v>
      </c>
      <c r="G1850" t="s">
        <v>15</v>
      </c>
      <c r="H1850" t="str">
        <f t="shared" si="56"/>
        <v>PSI</v>
      </c>
      <c r="I1850">
        <f t="shared" si="57"/>
        <v>14.674918303542567</v>
      </c>
    </row>
    <row r="1851" spans="1:9" x14ac:dyDescent="0.2">
      <c r="A1851">
        <v>535673</v>
      </c>
      <c r="B1851" t="s">
        <v>16</v>
      </c>
      <c r="C1851" t="s">
        <v>8</v>
      </c>
      <c r="D1851" t="s">
        <v>17</v>
      </c>
      <c r="E1851" t="s">
        <v>18</v>
      </c>
      <c r="F1851" t="s">
        <v>18</v>
      </c>
      <c r="G1851" t="s">
        <v>18</v>
      </c>
      <c r="H1851" t="e">
        <f t="shared" si="56"/>
        <v>#VALUE!</v>
      </c>
      <c r="I1851" t="str">
        <f t="shared" si="57"/>
        <v>-</v>
      </c>
    </row>
    <row r="1852" spans="1:9" x14ac:dyDescent="0.2">
      <c r="A1852">
        <v>535885</v>
      </c>
      <c r="B1852" t="s">
        <v>19</v>
      </c>
      <c r="C1852" t="s">
        <v>8</v>
      </c>
      <c r="D1852" t="s">
        <v>20</v>
      </c>
      <c r="E1852">
        <v>12872</v>
      </c>
      <c r="F1852">
        <v>1005.62</v>
      </c>
      <c r="G1852" t="s">
        <v>15</v>
      </c>
      <c r="H1852" t="str">
        <f t="shared" si="56"/>
        <v>PSI</v>
      </c>
      <c r="I1852">
        <f t="shared" si="57"/>
        <v>14.585284981625298</v>
      </c>
    </row>
    <row r="1853" spans="1:9" x14ac:dyDescent="0.2">
      <c r="A1853">
        <v>536099</v>
      </c>
      <c r="B1853" t="s">
        <v>21</v>
      </c>
      <c r="C1853" t="s">
        <v>8</v>
      </c>
      <c r="D1853" t="s">
        <v>22</v>
      </c>
      <c r="E1853">
        <v>2655</v>
      </c>
      <c r="F1853">
        <v>663.75</v>
      </c>
      <c r="G1853" t="s">
        <v>23</v>
      </c>
      <c r="H1853" t="e">
        <f t="shared" si="56"/>
        <v>#VALUE!</v>
      </c>
      <c r="I1853" t="str">
        <f t="shared" si="57"/>
        <v>-</v>
      </c>
    </row>
    <row r="1854" spans="1:9" x14ac:dyDescent="0.2">
      <c r="A1854">
        <v>536291</v>
      </c>
      <c r="B1854" t="s">
        <v>24</v>
      </c>
      <c r="C1854" t="s">
        <v>8</v>
      </c>
      <c r="D1854" t="s">
        <v>25</v>
      </c>
      <c r="E1854">
        <v>1</v>
      </c>
      <c r="F1854">
        <v>1</v>
      </c>
      <c r="G1854" t="s">
        <v>26</v>
      </c>
      <c r="H1854" t="e">
        <f t="shared" si="56"/>
        <v>#VALUE!</v>
      </c>
      <c r="I1854" t="str">
        <f t="shared" si="57"/>
        <v>-</v>
      </c>
    </row>
    <row r="1855" spans="1:9" x14ac:dyDescent="0.2">
      <c r="A1855">
        <v>536513</v>
      </c>
      <c r="B1855" t="s">
        <v>27</v>
      </c>
      <c r="C1855" t="s">
        <v>8</v>
      </c>
      <c r="D1855" t="s">
        <v>28</v>
      </c>
      <c r="E1855">
        <v>600</v>
      </c>
      <c r="F1855">
        <v>14.09</v>
      </c>
      <c r="G1855" t="s">
        <v>29</v>
      </c>
      <c r="H1855" t="e">
        <f t="shared" si="56"/>
        <v>#VALUE!</v>
      </c>
      <c r="I1855" t="str">
        <f t="shared" si="57"/>
        <v>-</v>
      </c>
    </row>
    <row r="1856" spans="1:9" x14ac:dyDescent="0.2">
      <c r="A1856">
        <v>536755</v>
      </c>
      <c r="B1856" t="s">
        <v>30</v>
      </c>
      <c r="C1856" t="s">
        <v>8</v>
      </c>
      <c r="D1856" t="s">
        <v>31</v>
      </c>
      <c r="E1856">
        <v>2710</v>
      </c>
      <c r="F1856">
        <v>2710</v>
      </c>
      <c r="G1856" t="s">
        <v>15</v>
      </c>
      <c r="H1856" t="str">
        <f t="shared" si="56"/>
        <v>PSI</v>
      </c>
      <c r="I1856">
        <f t="shared" si="57"/>
        <v>39.305226924886696</v>
      </c>
    </row>
    <row r="1857" spans="1:9" x14ac:dyDescent="0.2">
      <c r="A1857">
        <v>536967</v>
      </c>
      <c r="B1857" t="s">
        <v>32</v>
      </c>
      <c r="C1857" t="s">
        <v>8</v>
      </c>
      <c r="D1857" t="s">
        <v>33</v>
      </c>
      <c r="E1857">
        <v>17</v>
      </c>
      <c r="F1857">
        <v>0</v>
      </c>
      <c r="G1857" t="s">
        <v>26</v>
      </c>
      <c r="H1857" t="e">
        <f t="shared" si="56"/>
        <v>#VALUE!</v>
      </c>
      <c r="I1857" t="str">
        <f t="shared" si="57"/>
        <v>-</v>
      </c>
    </row>
    <row r="1858" spans="1:9" x14ac:dyDescent="0.2">
      <c r="A1858">
        <v>537179</v>
      </c>
      <c r="B1858" t="s">
        <v>34</v>
      </c>
      <c r="C1858" t="s">
        <v>8</v>
      </c>
      <c r="D1858" t="s">
        <v>35</v>
      </c>
      <c r="E1858">
        <v>4125</v>
      </c>
      <c r="F1858">
        <v>1.01</v>
      </c>
      <c r="G1858" t="s">
        <v>26</v>
      </c>
      <c r="H1858" t="e">
        <f t="shared" si="56"/>
        <v>#VALUE!</v>
      </c>
      <c r="I1858" t="str">
        <f t="shared" si="57"/>
        <v>-</v>
      </c>
    </row>
    <row r="1859" spans="1:9" x14ac:dyDescent="0.2">
      <c r="A1859">
        <v>537561</v>
      </c>
      <c r="B1859" t="s">
        <v>36</v>
      </c>
      <c r="C1859" t="s">
        <v>8</v>
      </c>
      <c r="D1859" t="s">
        <v>37</v>
      </c>
      <c r="E1859" t="s">
        <v>18</v>
      </c>
      <c r="F1859" t="s">
        <v>18</v>
      </c>
      <c r="G1859" t="s">
        <v>18</v>
      </c>
      <c r="H1859" t="e">
        <f t="shared" ref="H1859:H1883" si="58">IF(FIND("Pa",G1859,1),"PSI","-")</f>
        <v>#VALUE!</v>
      </c>
      <c r="I1859" t="str">
        <f t="shared" ref="I1859:I1883" si="59">IF(G1859="hPa",CONVERT(F1859*100,"Pa","psi"), IF(G1859="MPa",CONVERT(F1859*1000000,"Pa","psi"),"-"))</f>
        <v>-</v>
      </c>
    </row>
    <row r="1860" spans="1:9" x14ac:dyDescent="0.2">
      <c r="A1860">
        <v>537943</v>
      </c>
      <c r="B1860" t="s">
        <v>38</v>
      </c>
      <c r="C1860" t="s">
        <v>8</v>
      </c>
      <c r="D1860" t="s">
        <v>39</v>
      </c>
      <c r="E1860" t="s">
        <v>18</v>
      </c>
      <c r="F1860" t="s">
        <v>18</v>
      </c>
      <c r="G1860" t="s">
        <v>18</v>
      </c>
      <c r="H1860" t="e">
        <f t="shared" si="58"/>
        <v>#VALUE!</v>
      </c>
      <c r="I1860" t="str">
        <f t="shared" si="59"/>
        <v>-</v>
      </c>
    </row>
    <row r="1861" spans="1:9" x14ac:dyDescent="0.2">
      <c r="A1861">
        <v>538325</v>
      </c>
      <c r="B1861" t="s">
        <v>40</v>
      </c>
      <c r="C1861" t="s">
        <v>8</v>
      </c>
      <c r="D1861" t="s">
        <v>41</v>
      </c>
      <c r="E1861" t="s">
        <v>18</v>
      </c>
      <c r="F1861" t="s">
        <v>18</v>
      </c>
      <c r="G1861" t="s">
        <v>18</v>
      </c>
      <c r="H1861" t="e">
        <f t="shared" si="58"/>
        <v>#VALUE!</v>
      </c>
      <c r="I1861" t="str">
        <f t="shared" si="59"/>
        <v>-</v>
      </c>
    </row>
    <row r="1862" spans="1:9" x14ac:dyDescent="0.2">
      <c r="A1862">
        <v>538527</v>
      </c>
      <c r="B1862" t="s">
        <v>42</v>
      </c>
      <c r="C1862" t="s">
        <v>8</v>
      </c>
      <c r="D1862" t="s">
        <v>43</v>
      </c>
      <c r="E1862">
        <v>10344</v>
      </c>
      <c r="F1862">
        <v>5.17</v>
      </c>
      <c r="G1862" t="s">
        <v>44</v>
      </c>
      <c r="H1862" t="str">
        <f t="shared" si="58"/>
        <v>PSI</v>
      </c>
      <c r="I1862">
        <f t="shared" si="59"/>
        <v>749.84510406518166</v>
      </c>
    </row>
    <row r="1863" spans="1:9" x14ac:dyDescent="0.2">
      <c r="A1863">
        <v>538759</v>
      </c>
      <c r="B1863" t="s">
        <v>45</v>
      </c>
      <c r="C1863" t="s">
        <v>8</v>
      </c>
      <c r="D1863" t="s">
        <v>46</v>
      </c>
      <c r="E1863">
        <v>1</v>
      </c>
      <c r="F1863">
        <v>1</v>
      </c>
      <c r="G1863" t="s">
        <v>15</v>
      </c>
      <c r="H1863" t="str">
        <f t="shared" si="58"/>
        <v>PSI</v>
      </c>
      <c r="I1863">
        <f t="shared" si="59"/>
        <v>1.4503773773020921E-2</v>
      </c>
    </row>
    <row r="1864" spans="1:9" x14ac:dyDescent="0.2">
      <c r="A1864">
        <v>538971</v>
      </c>
      <c r="B1864" t="s">
        <v>47</v>
      </c>
      <c r="C1864" t="s">
        <v>8</v>
      </c>
      <c r="D1864" t="s">
        <v>48</v>
      </c>
      <c r="E1864">
        <v>5049</v>
      </c>
      <c r="F1864">
        <v>504.9</v>
      </c>
      <c r="G1864" t="s">
        <v>49</v>
      </c>
      <c r="H1864" t="e">
        <f t="shared" si="58"/>
        <v>#VALUE!</v>
      </c>
      <c r="I1864" t="str">
        <f t="shared" si="59"/>
        <v>-</v>
      </c>
    </row>
    <row r="1865" spans="1:9" x14ac:dyDescent="0.2">
      <c r="A1865">
        <v>539183</v>
      </c>
      <c r="B1865" t="s">
        <v>50</v>
      </c>
      <c r="C1865" t="s">
        <v>8</v>
      </c>
      <c r="D1865" t="s">
        <v>51</v>
      </c>
      <c r="E1865">
        <v>24074</v>
      </c>
      <c r="F1865">
        <v>940.39</v>
      </c>
      <c r="G1865" t="s">
        <v>15</v>
      </c>
      <c r="H1865" t="str">
        <f t="shared" si="58"/>
        <v>PSI</v>
      </c>
      <c r="I1865">
        <f t="shared" si="59"/>
        <v>13.639203818411143</v>
      </c>
    </row>
    <row r="1866" spans="1:9" x14ac:dyDescent="0.2">
      <c r="A1866">
        <v>539375</v>
      </c>
      <c r="B1866" t="s">
        <v>52</v>
      </c>
      <c r="C1866" t="s">
        <v>8</v>
      </c>
      <c r="D1866" t="s">
        <v>53</v>
      </c>
      <c r="E1866">
        <v>92</v>
      </c>
      <c r="F1866">
        <v>21</v>
      </c>
      <c r="G1866" t="s">
        <v>10</v>
      </c>
      <c r="H1866" t="e">
        <f t="shared" si="58"/>
        <v>#VALUE!</v>
      </c>
      <c r="I1866" t="str">
        <f t="shared" si="59"/>
        <v>-</v>
      </c>
    </row>
    <row r="1867" spans="1:9" x14ac:dyDescent="0.2">
      <c r="A1867">
        <v>539567</v>
      </c>
      <c r="B1867" t="s">
        <v>54</v>
      </c>
      <c r="C1867" t="s">
        <v>8</v>
      </c>
      <c r="D1867" t="s">
        <v>55</v>
      </c>
      <c r="E1867">
        <v>2</v>
      </c>
      <c r="F1867">
        <v>8</v>
      </c>
      <c r="G1867" t="s">
        <v>56</v>
      </c>
      <c r="H1867" t="e">
        <f t="shared" si="58"/>
        <v>#VALUE!</v>
      </c>
      <c r="I1867" t="str">
        <f t="shared" si="59"/>
        <v>-</v>
      </c>
    </row>
    <row r="1868" spans="1:9" x14ac:dyDescent="0.2">
      <c r="A1868">
        <v>539959</v>
      </c>
      <c r="B1868" t="s">
        <v>57</v>
      </c>
      <c r="C1868" t="s">
        <v>8</v>
      </c>
      <c r="D1868" t="s">
        <v>58</v>
      </c>
      <c r="E1868" t="s">
        <v>18</v>
      </c>
      <c r="F1868" t="s">
        <v>18</v>
      </c>
      <c r="G1868" t="s">
        <v>18</v>
      </c>
      <c r="H1868" t="e">
        <f t="shared" si="58"/>
        <v>#VALUE!</v>
      </c>
      <c r="I1868" t="str">
        <f t="shared" si="59"/>
        <v>-</v>
      </c>
    </row>
    <row r="1869" spans="1:9" x14ac:dyDescent="0.2">
      <c r="A1869">
        <v>540341</v>
      </c>
      <c r="B1869" t="s">
        <v>59</v>
      </c>
      <c r="C1869" t="s">
        <v>8</v>
      </c>
      <c r="D1869" t="s">
        <v>60</v>
      </c>
      <c r="E1869" t="s">
        <v>18</v>
      </c>
      <c r="F1869" t="s">
        <v>18</v>
      </c>
      <c r="G1869" t="s">
        <v>18</v>
      </c>
      <c r="H1869" t="e">
        <f t="shared" si="58"/>
        <v>#VALUE!</v>
      </c>
      <c r="I1869" t="str">
        <f t="shared" si="59"/>
        <v>-</v>
      </c>
    </row>
    <row r="1870" spans="1:9" x14ac:dyDescent="0.2">
      <c r="A1870">
        <v>540732</v>
      </c>
      <c r="B1870" t="s">
        <v>61</v>
      </c>
      <c r="C1870" t="s">
        <v>8</v>
      </c>
      <c r="D1870" t="s">
        <v>62</v>
      </c>
      <c r="E1870" t="s">
        <v>18</v>
      </c>
      <c r="F1870" t="s">
        <v>18</v>
      </c>
      <c r="G1870" t="s">
        <v>18</v>
      </c>
      <c r="H1870" t="e">
        <f t="shared" si="58"/>
        <v>#VALUE!</v>
      </c>
      <c r="I1870" t="str">
        <f t="shared" si="59"/>
        <v>-</v>
      </c>
    </row>
    <row r="1871" spans="1:9" x14ac:dyDescent="0.2">
      <c r="A1871">
        <v>541114</v>
      </c>
      <c r="B1871" t="s">
        <v>63</v>
      </c>
      <c r="C1871" t="s">
        <v>8</v>
      </c>
      <c r="D1871" t="s">
        <v>64</v>
      </c>
      <c r="E1871" t="s">
        <v>18</v>
      </c>
      <c r="F1871" t="s">
        <v>18</v>
      </c>
      <c r="G1871" t="s">
        <v>18</v>
      </c>
      <c r="H1871" t="e">
        <f t="shared" si="58"/>
        <v>#VALUE!</v>
      </c>
      <c r="I1871" t="str">
        <f t="shared" si="59"/>
        <v>-</v>
      </c>
    </row>
    <row r="1872" spans="1:9" x14ac:dyDescent="0.2">
      <c r="A1872">
        <v>541376</v>
      </c>
      <c r="B1872" t="s">
        <v>65</v>
      </c>
      <c r="C1872" t="s">
        <v>8</v>
      </c>
      <c r="D1872" t="s">
        <v>66</v>
      </c>
      <c r="E1872">
        <v>29703</v>
      </c>
      <c r="F1872">
        <v>3.63</v>
      </c>
      <c r="G1872" t="s">
        <v>67</v>
      </c>
      <c r="H1872" t="e">
        <f t="shared" si="58"/>
        <v>#VALUE!</v>
      </c>
      <c r="I1872" t="str">
        <f t="shared" si="59"/>
        <v>-</v>
      </c>
    </row>
    <row r="1873" spans="1:9" x14ac:dyDescent="0.2">
      <c r="A1873">
        <v>541758</v>
      </c>
      <c r="B1873" t="s">
        <v>68</v>
      </c>
      <c r="C1873" t="s">
        <v>8</v>
      </c>
      <c r="D1873" t="s">
        <v>69</v>
      </c>
      <c r="E1873" t="s">
        <v>18</v>
      </c>
      <c r="F1873" t="s">
        <v>18</v>
      </c>
      <c r="G1873" t="s">
        <v>18</v>
      </c>
      <c r="H1873" t="e">
        <f t="shared" si="58"/>
        <v>#VALUE!</v>
      </c>
      <c r="I1873" t="str">
        <f t="shared" si="59"/>
        <v>-</v>
      </c>
    </row>
    <row r="1874" spans="1:9" x14ac:dyDescent="0.2">
      <c r="A1874">
        <v>541960</v>
      </c>
      <c r="B1874" t="s">
        <v>7</v>
      </c>
      <c r="C1874" t="s">
        <v>8</v>
      </c>
      <c r="D1874" t="s">
        <v>9</v>
      </c>
      <c r="E1874">
        <v>165</v>
      </c>
      <c r="F1874">
        <v>105</v>
      </c>
      <c r="G1874" t="s">
        <v>10</v>
      </c>
      <c r="H1874" t="e">
        <f t="shared" si="58"/>
        <v>#VALUE!</v>
      </c>
      <c r="I1874" t="str">
        <f t="shared" si="59"/>
        <v>-</v>
      </c>
    </row>
    <row r="1875" spans="1:9" x14ac:dyDescent="0.2">
      <c r="A1875">
        <v>542153</v>
      </c>
      <c r="B1875" t="s">
        <v>11</v>
      </c>
      <c r="C1875" t="s">
        <v>8</v>
      </c>
      <c r="D1875" t="s">
        <v>12</v>
      </c>
      <c r="E1875">
        <v>206</v>
      </c>
      <c r="F1875">
        <v>106.5</v>
      </c>
      <c r="G1875" t="s">
        <v>10</v>
      </c>
      <c r="H1875" t="e">
        <f t="shared" si="58"/>
        <v>#VALUE!</v>
      </c>
      <c r="I1875" t="str">
        <f t="shared" si="59"/>
        <v>-</v>
      </c>
    </row>
    <row r="1876" spans="1:9" x14ac:dyDescent="0.2">
      <c r="A1876">
        <v>542365</v>
      </c>
      <c r="B1876" t="s">
        <v>13</v>
      </c>
      <c r="C1876" t="s">
        <v>8</v>
      </c>
      <c r="D1876" t="s">
        <v>14</v>
      </c>
      <c r="E1876">
        <v>25902</v>
      </c>
      <c r="F1876">
        <v>1011.8</v>
      </c>
      <c r="G1876" t="s">
        <v>15</v>
      </c>
      <c r="H1876" t="str">
        <f t="shared" si="58"/>
        <v>PSI</v>
      </c>
      <c r="I1876">
        <f t="shared" si="59"/>
        <v>14.674918303542567</v>
      </c>
    </row>
    <row r="1877" spans="1:9" x14ac:dyDescent="0.2">
      <c r="A1877">
        <v>542737</v>
      </c>
      <c r="B1877" t="s">
        <v>16</v>
      </c>
      <c r="C1877" t="s">
        <v>8</v>
      </c>
      <c r="D1877" t="s">
        <v>17</v>
      </c>
      <c r="E1877" t="s">
        <v>18</v>
      </c>
      <c r="F1877" t="s">
        <v>18</v>
      </c>
      <c r="G1877" t="s">
        <v>18</v>
      </c>
      <c r="H1877" t="e">
        <f t="shared" si="58"/>
        <v>#VALUE!</v>
      </c>
      <c r="I1877" t="str">
        <f t="shared" si="59"/>
        <v>-</v>
      </c>
    </row>
    <row r="1878" spans="1:9" x14ac:dyDescent="0.2">
      <c r="A1878">
        <v>542949</v>
      </c>
      <c r="B1878" t="s">
        <v>19</v>
      </c>
      <c r="C1878" t="s">
        <v>8</v>
      </c>
      <c r="D1878" t="s">
        <v>20</v>
      </c>
      <c r="E1878">
        <v>12871</v>
      </c>
      <c r="F1878">
        <v>1005.55</v>
      </c>
      <c r="G1878" t="s">
        <v>15</v>
      </c>
      <c r="H1878" t="str">
        <f t="shared" si="58"/>
        <v>PSI</v>
      </c>
      <c r="I1878">
        <f t="shared" si="59"/>
        <v>14.584269717461186</v>
      </c>
    </row>
    <row r="1879" spans="1:9" x14ac:dyDescent="0.2">
      <c r="A1879">
        <v>543161</v>
      </c>
      <c r="B1879" t="s">
        <v>21</v>
      </c>
      <c r="C1879" t="s">
        <v>8</v>
      </c>
      <c r="D1879" t="s">
        <v>22</v>
      </c>
      <c r="E1879">
        <v>2731</v>
      </c>
      <c r="F1879">
        <v>682.75</v>
      </c>
      <c r="G1879" t="s">
        <v>23</v>
      </c>
      <c r="H1879" t="e">
        <f t="shared" si="58"/>
        <v>#VALUE!</v>
      </c>
      <c r="I1879" t="str">
        <f t="shared" si="59"/>
        <v>-</v>
      </c>
    </row>
    <row r="1880" spans="1:9" x14ac:dyDescent="0.2">
      <c r="A1880">
        <v>543354</v>
      </c>
      <c r="B1880" t="s">
        <v>24</v>
      </c>
      <c r="C1880" t="s">
        <v>8</v>
      </c>
      <c r="D1880" t="s">
        <v>25</v>
      </c>
      <c r="E1880">
        <v>1</v>
      </c>
      <c r="F1880">
        <v>1</v>
      </c>
      <c r="G1880" t="s">
        <v>26</v>
      </c>
      <c r="H1880" t="e">
        <f t="shared" si="58"/>
        <v>#VALUE!</v>
      </c>
      <c r="I1880" t="str">
        <f t="shared" si="59"/>
        <v>-</v>
      </c>
    </row>
    <row r="1881" spans="1:9" x14ac:dyDescent="0.2">
      <c r="A1881">
        <v>545365</v>
      </c>
      <c r="B1881" t="s">
        <v>27</v>
      </c>
      <c r="C1881" t="s">
        <v>8</v>
      </c>
      <c r="D1881" t="s">
        <v>28</v>
      </c>
      <c r="E1881" t="s">
        <v>18</v>
      </c>
      <c r="F1881" t="s">
        <v>18</v>
      </c>
      <c r="G1881" t="s">
        <v>18</v>
      </c>
      <c r="H1881" t="e">
        <f t="shared" si="58"/>
        <v>#VALUE!</v>
      </c>
      <c r="I1881" t="str">
        <f t="shared" si="59"/>
        <v>-</v>
      </c>
    </row>
    <row r="1882" spans="1:9" x14ac:dyDescent="0.2">
      <c r="A1882">
        <v>547376</v>
      </c>
      <c r="B1882" t="s">
        <v>30</v>
      </c>
      <c r="C1882" t="s">
        <v>8</v>
      </c>
      <c r="D1882" t="s">
        <v>31</v>
      </c>
      <c r="E1882" t="s">
        <v>18</v>
      </c>
      <c r="F1882" t="s">
        <v>18</v>
      </c>
      <c r="G1882" t="s">
        <v>18</v>
      </c>
      <c r="H1882" t="e">
        <f t="shared" si="58"/>
        <v>#VALUE!</v>
      </c>
      <c r="I1882" t="str">
        <f t="shared" si="59"/>
        <v>-</v>
      </c>
    </row>
    <row r="1883" spans="1:9" x14ac:dyDescent="0.2">
      <c r="A1883">
        <v>549387</v>
      </c>
      <c r="B1883" t="s">
        <v>32</v>
      </c>
      <c r="C1883" t="s">
        <v>8</v>
      </c>
      <c r="D1883" t="s">
        <v>33</v>
      </c>
      <c r="E1883" t="s">
        <v>18</v>
      </c>
      <c r="F1883" t="s">
        <v>18</v>
      </c>
      <c r="G1883" t="s">
        <v>18</v>
      </c>
      <c r="H1883" t="e">
        <f t="shared" si="58"/>
        <v>#VALUE!</v>
      </c>
      <c r="I1883" t="str">
        <f t="shared" si="59"/>
        <v>-</v>
      </c>
    </row>
  </sheetData>
  <autoFilter ref="A1:I1883" xr:uid="{CBD5ACF6-8E3B-0242-BB6A-0E0F5BCF7CE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7C59-DC17-CA4D-BBF1-308B19D3481C}">
  <dimension ref="A1:T74"/>
  <sheetViews>
    <sheetView topLeftCell="H1" zoomScale="89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74</v>
      </c>
      <c r="E1" t="s">
        <v>0</v>
      </c>
      <c r="F1" t="s">
        <v>1</v>
      </c>
      <c r="G1" t="s">
        <v>74</v>
      </c>
      <c r="I1" t="s">
        <v>83</v>
      </c>
      <c r="J1" t="s">
        <v>84</v>
      </c>
      <c r="L1" t="s">
        <v>0</v>
      </c>
      <c r="M1" t="s">
        <v>1</v>
      </c>
      <c r="N1" t="s">
        <v>74</v>
      </c>
      <c r="O1" t="s">
        <v>83</v>
      </c>
      <c r="P1" t="s">
        <v>86</v>
      </c>
      <c r="R1" t="s">
        <v>0</v>
      </c>
      <c r="S1" t="s">
        <v>1</v>
      </c>
      <c r="T1" t="s">
        <v>87</v>
      </c>
    </row>
    <row r="2" spans="1:20" x14ac:dyDescent="0.2">
      <c r="A2">
        <v>38866</v>
      </c>
      <c r="B2" t="s">
        <v>13</v>
      </c>
      <c r="C2">
        <v>14.674918303542567</v>
      </c>
      <c r="E2">
        <v>39460</v>
      </c>
      <c r="F2" t="s">
        <v>19</v>
      </c>
      <c r="G2">
        <v>14.591086491134506</v>
      </c>
      <c r="I2">
        <f>E2-A2</f>
        <v>594</v>
      </c>
      <c r="J2">
        <f>G2-C2</f>
        <v>-8.3831812408060813E-2</v>
      </c>
      <c r="L2">
        <v>40309</v>
      </c>
      <c r="M2" t="s">
        <v>30</v>
      </c>
      <c r="N2">
        <v>43.00368923700703</v>
      </c>
      <c r="O2">
        <f>L2-A2</f>
        <v>1443</v>
      </c>
      <c r="P2">
        <f>N2-C2</f>
        <v>28.328770933464462</v>
      </c>
      <c r="R2">
        <v>39682</v>
      </c>
      <c r="S2" t="s">
        <v>21</v>
      </c>
      <c r="T2">
        <v>721.25</v>
      </c>
    </row>
    <row r="3" spans="1:20" x14ac:dyDescent="0.2">
      <c r="A3">
        <v>45900</v>
      </c>
      <c r="B3" t="s">
        <v>13</v>
      </c>
      <c r="C3">
        <v>14.674918303542567</v>
      </c>
      <c r="E3">
        <v>46494</v>
      </c>
      <c r="F3" t="s">
        <v>19</v>
      </c>
      <c r="G3">
        <v>14.592101755298618</v>
      </c>
      <c r="I3">
        <f t="shared" ref="I3:I66" si="0">E3-A3</f>
        <v>594</v>
      </c>
      <c r="J3">
        <f t="shared" ref="J3:J66" si="1">G3-C3</f>
        <v>-8.2816548243949129E-2</v>
      </c>
      <c r="L3">
        <v>47343</v>
      </c>
      <c r="M3" t="s">
        <v>30</v>
      </c>
      <c r="N3">
        <v>38.405992950959401</v>
      </c>
      <c r="O3">
        <f t="shared" ref="O3:O66" si="2">L3-A3</f>
        <v>1443</v>
      </c>
      <c r="P3">
        <f t="shared" ref="P3:P66" si="3">N3-C3</f>
        <v>23.731074647416833</v>
      </c>
      <c r="R3">
        <v>46706</v>
      </c>
      <c r="S3" t="s">
        <v>21</v>
      </c>
      <c r="T3">
        <v>648.25</v>
      </c>
    </row>
    <row r="4" spans="1:20" x14ac:dyDescent="0.2">
      <c r="A4">
        <v>52993</v>
      </c>
      <c r="B4" t="s">
        <v>13</v>
      </c>
      <c r="C4">
        <v>14.674918303542567</v>
      </c>
      <c r="E4">
        <v>53597</v>
      </c>
      <c r="F4" t="s">
        <v>19</v>
      </c>
      <c r="G4">
        <v>14.630681793534853</v>
      </c>
      <c r="I4">
        <f t="shared" si="0"/>
        <v>604</v>
      </c>
      <c r="J4">
        <f t="shared" si="1"/>
        <v>-4.4236510007714003E-2</v>
      </c>
      <c r="L4">
        <v>54425</v>
      </c>
      <c r="M4" t="s">
        <v>30</v>
      </c>
      <c r="N4">
        <v>39.145685413383468</v>
      </c>
      <c r="O4">
        <f t="shared" si="2"/>
        <v>1432</v>
      </c>
      <c r="P4">
        <f t="shared" si="3"/>
        <v>24.470767109840899</v>
      </c>
      <c r="R4">
        <v>53809</v>
      </c>
      <c r="S4" t="s">
        <v>21</v>
      </c>
      <c r="T4">
        <v>738.75</v>
      </c>
    </row>
    <row r="5" spans="1:20" x14ac:dyDescent="0.2">
      <c r="A5">
        <v>59945</v>
      </c>
      <c r="B5" t="s">
        <v>13</v>
      </c>
      <c r="C5">
        <v>14.674918303542567</v>
      </c>
      <c r="E5">
        <v>60529</v>
      </c>
      <c r="F5" t="s">
        <v>19</v>
      </c>
      <c r="G5">
        <v>14.57295677391823</v>
      </c>
      <c r="I5">
        <f t="shared" si="0"/>
        <v>584</v>
      </c>
      <c r="J5">
        <f t="shared" si="1"/>
        <v>-0.10196152962433658</v>
      </c>
      <c r="L5">
        <v>61357</v>
      </c>
      <c r="M5" t="s">
        <v>30</v>
      </c>
      <c r="N5">
        <v>41.640334502343066</v>
      </c>
      <c r="O5">
        <f t="shared" si="2"/>
        <v>1412</v>
      </c>
      <c r="P5">
        <f t="shared" si="3"/>
        <v>26.965416198800497</v>
      </c>
      <c r="R5">
        <v>60741</v>
      </c>
      <c r="S5" t="s">
        <v>21</v>
      </c>
      <c r="T5">
        <v>852.25</v>
      </c>
    </row>
    <row r="6" spans="1:20" x14ac:dyDescent="0.2">
      <c r="A6">
        <v>67018</v>
      </c>
      <c r="B6" t="s">
        <v>13</v>
      </c>
      <c r="C6">
        <v>14.674918303542567</v>
      </c>
      <c r="E6">
        <v>67622</v>
      </c>
      <c r="F6" t="s">
        <v>19</v>
      </c>
      <c r="G6">
        <v>14.592101755298618</v>
      </c>
      <c r="I6">
        <f t="shared" si="0"/>
        <v>604</v>
      </c>
      <c r="J6">
        <f t="shared" si="1"/>
        <v>-8.2816548243949129E-2</v>
      </c>
      <c r="L6">
        <v>68470</v>
      </c>
      <c r="M6" t="s">
        <v>30</v>
      </c>
      <c r="N6">
        <v>39.812859006942425</v>
      </c>
      <c r="O6">
        <f t="shared" si="2"/>
        <v>1452</v>
      </c>
      <c r="P6">
        <f t="shared" si="3"/>
        <v>25.137940703399856</v>
      </c>
      <c r="R6">
        <v>67834</v>
      </c>
      <c r="S6" t="s">
        <v>21</v>
      </c>
      <c r="T6">
        <v>697.25</v>
      </c>
    </row>
    <row r="7" spans="1:20" x14ac:dyDescent="0.2">
      <c r="A7">
        <v>74092</v>
      </c>
      <c r="B7" t="s">
        <v>13</v>
      </c>
      <c r="C7">
        <v>14.674918303542567</v>
      </c>
      <c r="E7">
        <v>74697</v>
      </c>
      <c r="F7" t="s">
        <v>19</v>
      </c>
      <c r="G7">
        <v>14.645475642783335</v>
      </c>
      <c r="I7">
        <f t="shared" si="0"/>
        <v>605</v>
      </c>
      <c r="J7">
        <f t="shared" si="1"/>
        <v>-2.9442660759231742E-2</v>
      </c>
      <c r="L7">
        <v>75565</v>
      </c>
      <c r="M7" t="s">
        <v>30</v>
      </c>
      <c r="N7">
        <v>40.334994862771183</v>
      </c>
      <c r="O7">
        <f t="shared" si="2"/>
        <v>1473</v>
      </c>
      <c r="P7">
        <f t="shared" si="3"/>
        <v>25.660076559228614</v>
      </c>
      <c r="R7">
        <v>74899</v>
      </c>
      <c r="S7" t="s">
        <v>21</v>
      </c>
      <c r="T7">
        <v>819.25</v>
      </c>
    </row>
    <row r="8" spans="1:20" x14ac:dyDescent="0.2">
      <c r="A8">
        <v>81124</v>
      </c>
      <c r="B8" t="s">
        <v>13</v>
      </c>
      <c r="C8">
        <v>14.674918303542567</v>
      </c>
      <c r="E8">
        <v>81728</v>
      </c>
      <c r="F8" t="s">
        <v>19</v>
      </c>
      <c r="G8">
        <v>14.568315566310863</v>
      </c>
      <c r="I8">
        <f t="shared" si="0"/>
        <v>604</v>
      </c>
      <c r="J8">
        <f t="shared" si="1"/>
        <v>-0.10660273723170377</v>
      </c>
      <c r="L8">
        <v>82557</v>
      </c>
      <c r="M8" t="s">
        <v>30</v>
      </c>
      <c r="N8">
        <v>40.654077885777639</v>
      </c>
      <c r="O8">
        <f t="shared" si="2"/>
        <v>1433</v>
      </c>
      <c r="P8">
        <f t="shared" si="3"/>
        <v>25.97915958223507</v>
      </c>
      <c r="R8">
        <v>81940</v>
      </c>
      <c r="S8" t="s">
        <v>21</v>
      </c>
      <c r="T8">
        <v>1395.75</v>
      </c>
    </row>
    <row r="9" spans="1:20" x14ac:dyDescent="0.2">
      <c r="A9">
        <v>88139</v>
      </c>
      <c r="B9" t="s">
        <v>13</v>
      </c>
      <c r="C9">
        <v>14.674918303542567</v>
      </c>
      <c r="E9">
        <v>88723</v>
      </c>
      <c r="F9" t="s">
        <v>19</v>
      </c>
      <c r="G9">
        <v>14.631842095436696</v>
      </c>
      <c r="I9">
        <f t="shared" si="0"/>
        <v>584</v>
      </c>
      <c r="J9">
        <f t="shared" si="1"/>
        <v>-4.3076208105871316E-2</v>
      </c>
      <c r="L9">
        <v>89551</v>
      </c>
      <c r="M9" t="s">
        <v>30</v>
      </c>
      <c r="N9">
        <v>46.470091168759033</v>
      </c>
      <c r="O9">
        <f t="shared" si="2"/>
        <v>1412</v>
      </c>
      <c r="P9">
        <f t="shared" si="3"/>
        <v>31.795172865216465</v>
      </c>
      <c r="R9">
        <v>88935</v>
      </c>
      <c r="S9" t="s">
        <v>21</v>
      </c>
      <c r="T9">
        <v>1448.75</v>
      </c>
    </row>
    <row r="10" spans="1:20" x14ac:dyDescent="0.2">
      <c r="A10">
        <v>95102</v>
      </c>
      <c r="B10" t="s">
        <v>13</v>
      </c>
      <c r="C10">
        <v>14.674918303542567</v>
      </c>
      <c r="E10">
        <v>95696</v>
      </c>
      <c r="F10" t="s">
        <v>19</v>
      </c>
      <c r="G10">
        <v>14.835765154685369</v>
      </c>
      <c r="I10">
        <f t="shared" si="0"/>
        <v>594</v>
      </c>
      <c r="J10">
        <f t="shared" si="1"/>
        <v>0.16084685114280184</v>
      </c>
      <c r="L10">
        <v>96524</v>
      </c>
      <c r="M10" t="s">
        <v>30</v>
      </c>
      <c r="N10">
        <v>53.083812009256569</v>
      </c>
      <c r="O10">
        <f t="shared" si="2"/>
        <v>1422</v>
      </c>
      <c r="P10">
        <f t="shared" si="3"/>
        <v>38.408893705714</v>
      </c>
      <c r="R10">
        <v>95908</v>
      </c>
      <c r="S10" t="s">
        <v>21</v>
      </c>
      <c r="T10">
        <v>1703.25</v>
      </c>
    </row>
    <row r="11" spans="1:20" x14ac:dyDescent="0.2">
      <c r="A11">
        <v>102057</v>
      </c>
      <c r="B11" t="s">
        <v>13</v>
      </c>
      <c r="C11">
        <v>14.674918303542567</v>
      </c>
      <c r="E11">
        <v>102651</v>
      </c>
      <c r="F11" t="s">
        <v>19</v>
      </c>
      <c r="G11">
        <v>14.713353304041073</v>
      </c>
      <c r="I11">
        <f t="shared" si="0"/>
        <v>594</v>
      </c>
      <c r="J11">
        <f t="shared" si="1"/>
        <v>3.84350004985059E-2</v>
      </c>
      <c r="L11">
        <v>103479</v>
      </c>
      <c r="M11" t="s">
        <v>30</v>
      </c>
      <c r="N11">
        <v>42.945674141914949</v>
      </c>
      <c r="O11">
        <f t="shared" si="2"/>
        <v>1422</v>
      </c>
      <c r="P11">
        <f t="shared" si="3"/>
        <v>28.270755838372381</v>
      </c>
      <c r="R11">
        <v>102863</v>
      </c>
      <c r="S11" t="s">
        <v>21</v>
      </c>
      <c r="T11">
        <v>986.25</v>
      </c>
    </row>
    <row r="12" spans="1:20" x14ac:dyDescent="0.2">
      <c r="A12">
        <v>109041</v>
      </c>
      <c r="B12" t="s">
        <v>13</v>
      </c>
      <c r="C12">
        <v>14.674918303542567</v>
      </c>
      <c r="E12">
        <v>109635</v>
      </c>
      <c r="F12" t="s">
        <v>19</v>
      </c>
      <c r="G12">
        <v>15.022718798619609</v>
      </c>
      <c r="I12">
        <f t="shared" si="0"/>
        <v>594</v>
      </c>
      <c r="J12">
        <f t="shared" si="1"/>
        <v>0.34780049507704192</v>
      </c>
      <c r="L12">
        <v>110492</v>
      </c>
      <c r="M12" t="s">
        <v>30</v>
      </c>
      <c r="N12">
        <v>42.191477905717861</v>
      </c>
      <c r="O12">
        <f t="shared" si="2"/>
        <v>1451</v>
      </c>
      <c r="P12">
        <f t="shared" si="3"/>
        <v>27.516559602175292</v>
      </c>
      <c r="R12">
        <v>109856</v>
      </c>
      <c r="S12" t="s">
        <v>21</v>
      </c>
      <c r="T12">
        <v>2159.25</v>
      </c>
    </row>
    <row r="13" spans="1:20" x14ac:dyDescent="0.2">
      <c r="A13">
        <v>116155</v>
      </c>
      <c r="B13" t="s">
        <v>13</v>
      </c>
      <c r="C13">
        <v>14.674918303542567</v>
      </c>
      <c r="E13">
        <v>116759</v>
      </c>
      <c r="F13" t="s">
        <v>19</v>
      </c>
      <c r="G13">
        <v>14.770063059493586</v>
      </c>
      <c r="I13">
        <f t="shared" si="0"/>
        <v>604</v>
      </c>
      <c r="J13">
        <f t="shared" si="1"/>
        <v>9.5144755951018567E-2</v>
      </c>
      <c r="L13">
        <v>117598</v>
      </c>
      <c r="M13" t="s">
        <v>30</v>
      </c>
      <c r="N13">
        <v>44.512081709401208</v>
      </c>
      <c r="O13">
        <f t="shared" si="2"/>
        <v>1443</v>
      </c>
      <c r="P13">
        <f t="shared" si="3"/>
        <v>29.837163405858639</v>
      </c>
      <c r="R13">
        <v>116972</v>
      </c>
      <c r="S13" t="s">
        <v>21</v>
      </c>
      <c r="T13">
        <v>903.25</v>
      </c>
    </row>
    <row r="14" spans="1:20" x14ac:dyDescent="0.2">
      <c r="A14">
        <v>123336</v>
      </c>
      <c r="B14" t="s">
        <v>13</v>
      </c>
      <c r="C14">
        <v>14.674918303542567</v>
      </c>
      <c r="E14">
        <v>123930</v>
      </c>
      <c r="F14" t="s">
        <v>19</v>
      </c>
      <c r="G14">
        <v>15.036352345966248</v>
      </c>
      <c r="I14">
        <f t="shared" si="0"/>
        <v>594</v>
      </c>
      <c r="J14">
        <f t="shared" si="1"/>
        <v>0.36143404242368149</v>
      </c>
      <c r="L14">
        <v>124758</v>
      </c>
      <c r="M14" t="s">
        <v>30</v>
      </c>
      <c r="N14">
        <v>41.176213741606396</v>
      </c>
      <c r="O14">
        <f t="shared" si="2"/>
        <v>1422</v>
      </c>
      <c r="P14">
        <f t="shared" si="3"/>
        <v>26.501295438063828</v>
      </c>
      <c r="R14">
        <v>124142</v>
      </c>
      <c r="S14" t="s">
        <v>21</v>
      </c>
      <c r="T14">
        <v>2127.75</v>
      </c>
    </row>
    <row r="15" spans="1:20" x14ac:dyDescent="0.2">
      <c r="A15">
        <v>130281</v>
      </c>
      <c r="B15" t="s">
        <v>13</v>
      </c>
      <c r="C15">
        <v>14.674918303542567</v>
      </c>
      <c r="E15">
        <v>130865</v>
      </c>
      <c r="F15" t="s">
        <v>19</v>
      </c>
      <c r="G15">
        <v>14.648811510751131</v>
      </c>
      <c r="I15">
        <f t="shared" si="0"/>
        <v>584</v>
      </c>
      <c r="J15">
        <f t="shared" si="1"/>
        <v>-2.6106792791436462E-2</v>
      </c>
      <c r="L15">
        <v>131693</v>
      </c>
      <c r="M15" t="s">
        <v>30</v>
      </c>
      <c r="N15">
        <v>42.365523190994111</v>
      </c>
      <c r="O15">
        <f t="shared" si="2"/>
        <v>1412</v>
      </c>
      <c r="P15">
        <f t="shared" si="3"/>
        <v>27.690604887451542</v>
      </c>
      <c r="R15">
        <v>131077</v>
      </c>
      <c r="S15" t="s">
        <v>21</v>
      </c>
      <c r="T15">
        <v>931.75</v>
      </c>
    </row>
    <row r="16" spans="1:20" x14ac:dyDescent="0.2">
      <c r="A16">
        <v>137333</v>
      </c>
      <c r="B16" t="s">
        <v>13</v>
      </c>
      <c r="C16">
        <v>14.674918303542567</v>
      </c>
      <c r="E16">
        <v>137986</v>
      </c>
      <c r="F16" t="s">
        <v>19</v>
      </c>
      <c r="G16">
        <v>14.763246285820266</v>
      </c>
      <c r="I16">
        <f t="shared" si="0"/>
        <v>653</v>
      </c>
      <c r="J16">
        <f t="shared" si="1"/>
        <v>8.832798227769878E-2</v>
      </c>
      <c r="L16">
        <v>138834</v>
      </c>
      <c r="M16" t="s">
        <v>30</v>
      </c>
      <c r="N16">
        <v>0.17404528527625104</v>
      </c>
      <c r="O16">
        <f t="shared" si="2"/>
        <v>1501</v>
      </c>
      <c r="P16">
        <f t="shared" si="3"/>
        <v>-14.500873018266317</v>
      </c>
      <c r="R16">
        <v>138208</v>
      </c>
      <c r="S16" t="s">
        <v>21</v>
      </c>
      <c r="T16">
        <v>1029.75</v>
      </c>
    </row>
    <row r="17" spans="1:20" x14ac:dyDescent="0.2">
      <c r="A17">
        <v>144506</v>
      </c>
      <c r="B17" t="s">
        <v>13</v>
      </c>
      <c r="C17">
        <v>14.674918303542567</v>
      </c>
      <c r="E17">
        <v>145091</v>
      </c>
      <c r="F17" t="s">
        <v>19</v>
      </c>
      <c r="G17">
        <v>14.876520758987558</v>
      </c>
      <c r="I17">
        <f t="shared" si="0"/>
        <v>585</v>
      </c>
      <c r="J17">
        <f t="shared" si="1"/>
        <v>0.20160245544499134</v>
      </c>
      <c r="L17">
        <v>145919</v>
      </c>
      <c r="M17" t="s">
        <v>30</v>
      </c>
      <c r="N17">
        <v>41.814379787619316</v>
      </c>
      <c r="O17">
        <f t="shared" si="2"/>
        <v>1413</v>
      </c>
      <c r="P17">
        <f t="shared" si="3"/>
        <v>27.139461484076747</v>
      </c>
      <c r="R17">
        <v>145303</v>
      </c>
      <c r="S17" t="s">
        <v>21</v>
      </c>
      <c r="T17">
        <v>1467.75</v>
      </c>
    </row>
    <row r="18" spans="1:20" x14ac:dyDescent="0.2">
      <c r="A18">
        <v>151500</v>
      </c>
      <c r="B18" t="s">
        <v>13</v>
      </c>
      <c r="C18">
        <v>14.674918303542567</v>
      </c>
      <c r="E18">
        <v>152104</v>
      </c>
      <c r="F18" t="s">
        <v>19</v>
      </c>
      <c r="G18">
        <v>15.215328914325328</v>
      </c>
      <c r="I18">
        <f t="shared" si="0"/>
        <v>604</v>
      </c>
      <c r="J18">
        <f t="shared" si="1"/>
        <v>0.54041061078276087</v>
      </c>
      <c r="L18">
        <v>152912</v>
      </c>
      <c r="M18" t="s">
        <v>30</v>
      </c>
      <c r="N18">
        <v>44.004449627345473</v>
      </c>
      <c r="O18">
        <f t="shared" si="2"/>
        <v>1412</v>
      </c>
      <c r="P18">
        <f t="shared" si="3"/>
        <v>29.329531323802904</v>
      </c>
      <c r="R18">
        <v>152316</v>
      </c>
      <c r="S18" t="s">
        <v>21</v>
      </c>
      <c r="T18">
        <v>1913.75</v>
      </c>
    </row>
    <row r="19" spans="1:20" x14ac:dyDescent="0.2">
      <c r="A19">
        <v>158453</v>
      </c>
      <c r="B19" t="s">
        <v>13</v>
      </c>
      <c r="C19">
        <v>14.674918303542567</v>
      </c>
      <c r="E19">
        <v>159047</v>
      </c>
      <c r="F19" t="s">
        <v>19</v>
      </c>
      <c r="G19">
        <v>15.340061368773309</v>
      </c>
      <c r="I19">
        <f t="shared" si="0"/>
        <v>594</v>
      </c>
      <c r="J19">
        <f t="shared" si="1"/>
        <v>0.66514306523074218</v>
      </c>
      <c r="L19">
        <v>159875</v>
      </c>
      <c r="M19" t="s">
        <v>30</v>
      </c>
      <c r="N19">
        <v>45.875436444065173</v>
      </c>
      <c r="O19">
        <f t="shared" si="2"/>
        <v>1422</v>
      </c>
      <c r="P19">
        <f t="shared" si="3"/>
        <v>31.200518140522604</v>
      </c>
      <c r="R19">
        <v>159259</v>
      </c>
      <c r="S19" t="s">
        <v>21</v>
      </c>
      <c r="T19">
        <v>1626.75</v>
      </c>
    </row>
    <row r="20" spans="1:20" x14ac:dyDescent="0.2">
      <c r="A20">
        <v>165426</v>
      </c>
      <c r="B20" t="s">
        <v>13</v>
      </c>
      <c r="C20">
        <v>14.674918303542567</v>
      </c>
      <c r="E20">
        <v>166010</v>
      </c>
      <c r="F20" t="s">
        <v>19</v>
      </c>
      <c r="G20">
        <v>14.716834209746597</v>
      </c>
      <c r="I20">
        <f t="shared" si="0"/>
        <v>584</v>
      </c>
      <c r="J20">
        <f t="shared" si="1"/>
        <v>4.1915906204030406E-2</v>
      </c>
      <c r="L20">
        <v>166839</v>
      </c>
      <c r="M20" t="s">
        <v>30</v>
      </c>
      <c r="N20">
        <v>39.79835523316941</v>
      </c>
      <c r="O20">
        <f t="shared" si="2"/>
        <v>1413</v>
      </c>
      <c r="P20">
        <f t="shared" si="3"/>
        <v>25.123436929626841</v>
      </c>
      <c r="R20">
        <v>166223</v>
      </c>
      <c r="S20" t="s">
        <v>21</v>
      </c>
      <c r="T20">
        <v>1541.75</v>
      </c>
    </row>
    <row r="21" spans="1:20" x14ac:dyDescent="0.2">
      <c r="A21">
        <v>172389</v>
      </c>
      <c r="B21" t="s">
        <v>13</v>
      </c>
      <c r="C21">
        <v>14.674918303542567</v>
      </c>
      <c r="E21">
        <v>172983</v>
      </c>
      <c r="F21" t="s">
        <v>19</v>
      </c>
      <c r="G21">
        <v>14.652147378718924</v>
      </c>
      <c r="I21">
        <f t="shared" si="0"/>
        <v>594</v>
      </c>
      <c r="J21">
        <f t="shared" si="1"/>
        <v>-2.2770924823642957E-2</v>
      </c>
      <c r="L21">
        <v>173822</v>
      </c>
      <c r="M21" t="s">
        <v>30</v>
      </c>
      <c r="N21">
        <v>37.274698596663768</v>
      </c>
      <c r="O21">
        <f t="shared" si="2"/>
        <v>1433</v>
      </c>
      <c r="P21">
        <f t="shared" si="3"/>
        <v>22.599780293121199</v>
      </c>
      <c r="R21">
        <v>173195</v>
      </c>
      <c r="S21" t="s">
        <v>21</v>
      </c>
      <c r="T21">
        <v>852.25</v>
      </c>
    </row>
    <row r="22" spans="1:20" x14ac:dyDescent="0.2">
      <c r="A22">
        <v>179402</v>
      </c>
      <c r="B22" t="s">
        <v>13</v>
      </c>
      <c r="C22">
        <v>14.674918303542567</v>
      </c>
      <c r="E22">
        <v>179996</v>
      </c>
      <c r="F22" t="s">
        <v>19</v>
      </c>
      <c r="G22">
        <v>14.917421401027477</v>
      </c>
      <c r="I22">
        <f t="shared" si="0"/>
        <v>594</v>
      </c>
      <c r="J22">
        <f t="shared" si="1"/>
        <v>0.24250309748491006</v>
      </c>
      <c r="L22">
        <v>180835</v>
      </c>
      <c r="M22" t="s">
        <v>30</v>
      </c>
      <c r="N22">
        <v>43.076208105872134</v>
      </c>
      <c r="O22">
        <f t="shared" si="2"/>
        <v>1433</v>
      </c>
      <c r="P22">
        <f t="shared" si="3"/>
        <v>28.401289802329565</v>
      </c>
      <c r="R22">
        <v>180208</v>
      </c>
      <c r="S22" t="s">
        <v>21</v>
      </c>
      <c r="T22">
        <v>1922.25</v>
      </c>
    </row>
    <row r="23" spans="1:20" x14ac:dyDescent="0.2">
      <c r="A23">
        <v>186356</v>
      </c>
      <c r="B23" t="s">
        <v>13</v>
      </c>
      <c r="C23">
        <v>14.674918303542567</v>
      </c>
      <c r="E23">
        <v>186940</v>
      </c>
      <c r="F23" t="s">
        <v>19</v>
      </c>
      <c r="G23">
        <v>14.826772814946096</v>
      </c>
      <c r="I23">
        <f t="shared" si="0"/>
        <v>584</v>
      </c>
      <c r="J23">
        <f t="shared" si="1"/>
        <v>0.15185451140352946</v>
      </c>
      <c r="L23">
        <v>187760</v>
      </c>
      <c r="M23" t="s">
        <v>30</v>
      </c>
      <c r="N23">
        <v>42.322011869675045</v>
      </c>
      <c r="O23">
        <f t="shared" si="2"/>
        <v>1404</v>
      </c>
      <c r="P23">
        <f t="shared" si="3"/>
        <v>27.647093566132476</v>
      </c>
      <c r="R23">
        <v>187143</v>
      </c>
      <c r="S23" t="s">
        <v>21</v>
      </c>
      <c r="T23">
        <v>1427.75</v>
      </c>
    </row>
    <row r="24" spans="1:20" x14ac:dyDescent="0.2">
      <c r="A24">
        <v>193271</v>
      </c>
      <c r="B24" t="s">
        <v>13</v>
      </c>
      <c r="C24">
        <v>14.693048020758845</v>
      </c>
      <c r="E24">
        <v>193865</v>
      </c>
      <c r="F24" t="s">
        <v>19</v>
      </c>
      <c r="G24">
        <v>15.060138534954001</v>
      </c>
      <c r="I24">
        <f t="shared" si="0"/>
        <v>594</v>
      </c>
      <c r="J24">
        <f t="shared" si="1"/>
        <v>0.36709051419515681</v>
      </c>
      <c r="L24">
        <v>194673</v>
      </c>
      <c r="M24" t="s">
        <v>30</v>
      </c>
      <c r="N24">
        <v>41.930409977803485</v>
      </c>
      <c r="O24">
        <f t="shared" si="2"/>
        <v>1402</v>
      </c>
      <c r="P24">
        <f t="shared" si="3"/>
        <v>27.237361957044641</v>
      </c>
      <c r="R24">
        <v>194077</v>
      </c>
      <c r="S24" t="s">
        <v>21</v>
      </c>
      <c r="T24">
        <v>1998.25</v>
      </c>
    </row>
    <row r="25" spans="1:20" x14ac:dyDescent="0.2">
      <c r="A25">
        <v>200214</v>
      </c>
      <c r="B25" t="s">
        <v>13</v>
      </c>
      <c r="C25">
        <v>14.7105975870242</v>
      </c>
      <c r="E25">
        <v>200808</v>
      </c>
      <c r="F25" t="s">
        <v>19</v>
      </c>
      <c r="G25">
        <v>15.207496876487896</v>
      </c>
      <c r="I25">
        <f t="shared" si="0"/>
        <v>594</v>
      </c>
      <c r="J25">
        <f t="shared" si="1"/>
        <v>0.49689928946369655</v>
      </c>
      <c r="L25">
        <v>201636</v>
      </c>
      <c r="M25" t="s">
        <v>30</v>
      </c>
      <c r="N25">
        <v>43.409794902651619</v>
      </c>
      <c r="O25">
        <f t="shared" si="2"/>
        <v>1422</v>
      </c>
      <c r="P25">
        <f t="shared" si="3"/>
        <v>28.699197315627419</v>
      </c>
      <c r="R25">
        <v>201020</v>
      </c>
      <c r="S25" t="s">
        <v>21</v>
      </c>
      <c r="T25">
        <v>2489.75</v>
      </c>
    </row>
    <row r="26" spans="1:20" x14ac:dyDescent="0.2">
      <c r="A26">
        <v>207167</v>
      </c>
      <c r="B26" t="s">
        <v>13</v>
      </c>
      <c r="C26">
        <v>14.728727304240476</v>
      </c>
      <c r="E26">
        <v>207751</v>
      </c>
      <c r="F26" t="s">
        <v>19</v>
      </c>
      <c r="G26">
        <v>15.166596234447978</v>
      </c>
      <c r="I26">
        <f t="shared" si="0"/>
        <v>584</v>
      </c>
      <c r="J26">
        <f t="shared" si="1"/>
        <v>0.43786893020750206</v>
      </c>
      <c r="L26">
        <v>208579</v>
      </c>
      <c r="M26" t="s">
        <v>30</v>
      </c>
      <c r="N26">
        <v>43.772389246977141</v>
      </c>
      <c r="O26">
        <f t="shared" si="2"/>
        <v>1412</v>
      </c>
      <c r="P26">
        <f t="shared" si="3"/>
        <v>29.043661942736666</v>
      </c>
      <c r="R26">
        <v>207963</v>
      </c>
      <c r="S26" t="s">
        <v>21</v>
      </c>
      <c r="T26">
        <v>2114.25</v>
      </c>
    </row>
    <row r="27" spans="1:20" x14ac:dyDescent="0.2">
      <c r="A27">
        <v>214099</v>
      </c>
      <c r="B27" t="s">
        <v>13</v>
      </c>
      <c r="C27">
        <v>14.746857021456751</v>
      </c>
      <c r="E27">
        <v>214694</v>
      </c>
      <c r="F27" t="s">
        <v>19</v>
      </c>
      <c r="G27">
        <v>14.961512873297462</v>
      </c>
      <c r="I27">
        <f t="shared" si="0"/>
        <v>595</v>
      </c>
      <c r="J27">
        <f t="shared" si="1"/>
        <v>0.21465585184071045</v>
      </c>
      <c r="L27">
        <v>215522</v>
      </c>
      <c r="M27" t="s">
        <v>30</v>
      </c>
      <c r="N27">
        <v>43.801396794523178</v>
      </c>
      <c r="O27">
        <f t="shared" si="2"/>
        <v>1423</v>
      </c>
      <c r="P27">
        <f t="shared" si="3"/>
        <v>29.054539773066427</v>
      </c>
      <c r="R27">
        <v>214906</v>
      </c>
      <c r="S27" t="s">
        <v>21</v>
      </c>
      <c r="T27">
        <v>1422.25</v>
      </c>
    </row>
    <row r="28" spans="1:20" x14ac:dyDescent="0.2">
      <c r="A28">
        <v>221052</v>
      </c>
      <c r="B28" t="s">
        <v>13</v>
      </c>
      <c r="C28">
        <v>14.746857021456751</v>
      </c>
      <c r="E28">
        <v>221646</v>
      </c>
      <c r="F28" t="s">
        <v>19</v>
      </c>
      <c r="G28">
        <v>14.713353304041073</v>
      </c>
      <c r="I28">
        <f t="shared" si="0"/>
        <v>594</v>
      </c>
      <c r="J28">
        <f t="shared" si="1"/>
        <v>-3.350371741567848E-2</v>
      </c>
      <c r="L28">
        <v>222484</v>
      </c>
      <c r="M28" t="s">
        <v>30</v>
      </c>
      <c r="N28">
        <v>42.699109987773589</v>
      </c>
      <c r="O28">
        <f t="shared" si="2"/>
        <v>1432</v>
      </c>
      <c r="P28">
        <f t="shared" si="3"/>
        <v>27.952252966316838</v>
      </c>
      <c r="R28">
        <v>221858</v>
      </c>
      <c r="S28" t="s">
        <v>21</v>
      </c>
      <c r="T28">
        <v>829.25</v>
      </c>
    </row>
    <row r="29" spans="1:20" x14ac:dyDescent="0.2">
      <c r="A29">
        <v>227987</v>
      </c>
      <c r="B29" t="s">
        <v>13</v>
      </c>
      <c r="C29">
        <v>14.746857021456751</v>
      </c>
      <c r="E29">
        <v>228582</v>
      </c>
      <c r="F29" t="s">
        <v>19</v>
      </c>
      <c r="G29">
        <v>14.670277095935202</v>
      </c>
      <c r="I29">
        <f t="shared" si="0"/>
        <v>595</v>
      </c>
      <c r="J29">
        <f t="shared" si="1"/>
        <v>-7.6579925521549796E-2</v>
      </c>
      <c r="L29">
        <v>229400</v>
      </c>
      <c r="M29" t="s">
        <v>30</v>
      </c>
      <c r="N29">
        <v>45.266277945598297</v>
      </c>
      <c r="O29">
        <f t="shared" si="2"/>
        <v>1413</v>
      </c>
      <c r="P29">
        <f t="shared" si="3"/>
        <v>30.519420924141546</v>
      </c>
      <c r="R29">
        <v>228784</v>
      </c>
      <c r="S29" t="s">
        <v>21</v>
      </c>
      <c r="T29">
        <v>798.75</v>
      </c>
    </row>
    <row r="30" spans="1:20" x14ac:dyDescent="0.2">
      <c r="A30">
        <v>234930</v>
      </c>
      <c r="B30" t="s">
        <v>13</v>
      </c>
      <c r="C30">
        <v>14.746857021456751</v>
      </c>
      <c r="E30">
        <v>235514</v>
      </c>
      <c r="F30" t="s">
        <v>19</v>
      </c>
      <c r="G30">
        <v>14.685070945183682</v>
      </c>
      <c r="I30">
        <f t="shared" si="0"/>
        <v>584</v>
      </c>
      <c r="J30">
        <f t="shared" si="1"/>
        <v>-6.1786076273069312E-2</v>
      </c>
      <c r="L30">
        <v>236343</v>
      </c>
      <c r="M30" t="s">
        <v>30</v>
      </c>
      <c r="N30">
        <v>38.580038236235652</v>
      </c>
      <c r="O30">
        <f t="shared" si="2"/>
        <v>1413</v>
      </c>
      <c r="P30">
        <f t="shared" si="3"/>
        <v>23.8331812147789</v>
      </c>
      <c r="R30">
        <v>235726</v>
      </c>
      <c r="S30" t="s">
        <v>21</v>
      </c>
      <c r="T30">
        <v>833.75</v>
      </c>
    </row>
    <row r="31" spans="1:20" x14ac:dyDescent="0.2">
      <c r="A31">
        <v>241873</v>
      </c>
      <c r="B31" t="s">
        <v>13</v>
      </c>
      <c r="C31">
        <v>14.764406587722107</v>
      </c>
      <c r="E31">
        <v>242467</v>
      </c>
      <c r="F31" t="s">
        <v>19</v>
      </c>
      <c r="G31">
        <v>14.835765154685369</v>
      </c>
      <c r="I31">
        <f t="shared" si="0"/>
        <v>594</v>
      </c>
      <c r="J31">
        <f t="shared" si="1"/>
        <v>7.1358566963262149E-2</v>
      </c>
      <c r="L31">
        <v>243316</v>
      </c>
      <c r="M31" t="s">
        <v>30</v>
      </c>
      <c r="N31">
        <v>51.198321418763854</v>
      </c>
      <c r="O31">
        <f t="shared" si="2"/>
        <v>1443</v>
      </c>
      <c r="P31">
        <f t="shared" si="3"/>
        <v>36.433914831041747</v>
      </c>
      <c r="R31">
        <v>242680</v>
      </c>
      <c r="S31" t="s">
        <v>21</v>
      </c>
      <c r="T31">
        <v>1206.75</v>
      </c>
    </row>
    <row r="32" spans="1:20" x14ac:dyDescent="0.2">
      <c r="A32">
        <v>248858</v>
      </c>
      <c r="B32" t="s">
        <v>13</v>
      </c>
      <c r="C32">
        <v>14.764406587722107</v>
      </c>
      <c r="E32">
        <v>249442</v>
      </c>
      <c r="F32" t="s">
        <v>19</v>
      </c>
      <c r="G32">
        <v>14.997772307730013</v>
      </c>
      <c r="I32">
        <f t="shared" si="0"/>
        <v>584</v>
      </c>
      <c r="J32">
        <f t="shared" si="1"/>
        <v>0.23336572000790667</v>
      </c>
      <c r="L32">
        <v>250291</v>
      </c>
      <c r="M32" t="s">
        <v>30</v>
      </c>
      <c r="N32">
        <v>42.133462810625772</v>
      </c>
      <c r="O32">
        <f t="shared" si="2"/>
        <v>1433</v>
      </c>
      <c r="P32">
        <f t="shared" si="3"/>
        <v>27.369056222903666</v>
      </c>
      <c r="R32">
        <v>249644</v>
      </c>
      <c r="S32" t="s">
        <v>21</v>
      </c>
      <c r="T32">
        <v>1736.75</v>
      </c>
    </row>
    <row r="33" spans="1:20" x14ac:dyDescent="0.2">
      <c r="A33">
        <v>255833</v>
      </c>
      <c r="B33" t="s">
        <v>13</v>
      </c>
      <c r="C33">
        <v>14.782536304938382</v>
      </c>
      <c r="E33">
        <v>256427</v>
      </c>
      <c r="F33" t="s">
        <v>19</v>
      </c>
      <c r="G33">
        <v>14.997772307730013</v>
      </c>
      <c r="I33">
        <f t="shared" si="0"/>
        <v>594</v>
      </c>
      <c r="J33">
        <f t="shared" si="1"/>
        <v>0.21523600279163091</v>
      </c>
      <c r="L33">
        <v>257255</v>
      </c>
      <c r="M33" t="s">
        <v>30</v>
      </c>
      <c r="N33">
        <v>50.864734621984368</v>
      </c>
      <c r="O33">
        <f t="shared" si="2"/>
        <v>1422</v>
      </c>
      <c r="P33">
        <f t="shared" si="3"/>
        <v>36.082198317045986</v>
      </c>
      <c r="R33">
        <v>256639</v>
      </c>
      <c r="S33" t="s">
        <v>21</v>
      </c>
      <c r="T33">
        <v>1984.75</v>
      </c>
    </row>
    <row r="34" spans="1:20" x14ac:dyDescent="0.2">
      <c r="A34">
        <v>262835</v>
      </c>
      <c r="B34" t="s">
        <v>13</v>
      </c>
      <c r="C34">
        <v>14.782536304938382</v>
      </c>
      <c r="E34">
        <v>263428</v>
      </c>
      <c r="F34" t="s">
        <v>19</v>
      </c>
      <c r="G34">
        <v>15.242596009018607</v>
      </c>
      <c r="I34">
        <f t="shared" si="0"/>
        <v>593</v>
      </c>
      <c r="J34">
        <f t="shared" si="1"/>
        <v>0.46005970408022456</v>
      </c>
      <c r="L34">
        <v>264285</v>
      </c>
      <c r="M34" t="s">
        <v>30</v>
      </c>
      <c r="N34">
        <v>41.596823181024</v>
      </c>
      <c r="O34">
        <f t="shared" si="2"/>
        <v>1450</v>
      </c>
      <c r="P34">
        <f t="shared" si="3"/>
        <v>26.814286876085617</v>
      </c>
      <c r="R34">
        <v>263660</v>
      </c>
      <c r="S34" t="s">
        <v>21</v>
      </c>
      <c r="T34">
        <v>1862.75</v>
      </c>
    </row>
    <row r="35" spans="1:20" x14ac:dyDescent="0.2">
      <c r="A35">
        <v>269933</v>
      </c>
      <c r="B35" t="s">
        <v>13</v>
      </c>
      <c r="C35">
        <v>14.782536304938382</v>
      </c>
      <c r="E35">
        <v>270517</v>
      </c>
      <c r="F35" t="s">
        <v>19</v>
      </c>
      <c r="G35">
        <v>15.135993271786901</v>
      </c>
      <c r="I35">
        <f t="shared" si="0"/>
        <v>584</v>
      </c>
      <c r="J35">
        <f t="shared" si="1"/>
        <v>0.35345696684851902</v>
      </c>
      <c r="L35">
        <v>271345</v>
      </c>
      <c r="M35" t="s">
        <v>30</v>
      </c>
      <c r="N35">
        <v>39.812859006942425</v>
      </c>
      <c r="O35">
        <f t="shared" si="2"/>
        <v>1412</v>
      </c>
      <c r="P35">
        <f t="shared" si="3"/>
        <v>25.030322702004042</v>
      </c>
      <c r="R35">
        <v>270729</v>
      </c>
      <c r="S35" t="s">
        <v>21</v>
      </c>
      <c r="T35">
        <v>1910.75</v>
      </c>
    </row>
    <row r="36" spans="1:20" x14ac:dyDescent="0.2">
      <c r="A36">
        <v>276866</v>
      </c>
      <c r="B36" t="s">
        <v>13</v>
      </c>
      <c r="C36">
        <v>14.782536304938382</v>
      </c>
      <c r="E36">
        <v>277450</v>
      </c>
      <c r="F36" t="s">
        <v>19</v>
      </c>
      <c r="G36">
        <v>14.989940269892582</v>
      </c>
      <c r="I36">
        <f t="shared" si="0"/>
        <v>584</v>
      </c>
      <c r="J36">
        <f t="shared" si="1"/>
        <v>0.20740396495419944</v>
      </c>
      <c r="L36">
        <v>278279</v>
      </c>
      <c r="M36" t="s">
        <v>30</v>
      </c>
      <c r="N36">
        <v>46.49909871630507</v>
      </c>
      <c r="O36">
        <f t="shared" si="2"/>
        <v>1413</v>
      </c>
      <c r="P36">
        <f t="shared" si="3"/>
        <v>31.716562411366688</v>
      </c>
      <c r="R36">
        <v>277663</v>
      </c>
      <c r="S36" t="s">
        <v>21</v>
      </c>
      <c r="T36">
        <v>2044.25</v>
      </c>
    </row>
    <row r="37" spans="1:20" x14ac:dyDescent="0.2">
      <c r="A37">
        <v>283802</v>
      </c>
      <c r="B37" t="s">
        <v>13</v>
      </c>
      <c r="C37">
        <v>14.782536304938382</v>
      </c>
      <c r="E37">
        <v>284396</v>
      </c>
      <c r="F37" t="s">
        <v>19</v>
      </c>
      <c r="G37">
        <v>14.957016703427824</v>
      </c>
      <c r="I37">
        <f t="shared" si="0"/>
        <v>594</v>
      </c>
      <c r="J37">
        <f t="shared" si="1"/>
        <v>0.17448039848944141</v>
      </c>
      <c r="L37">
        <v>285225</v>
      </c>
      <c r="M37" t="s">
        <v>30</v>
      </c>
      <c r="N37">
        <v>44.758645863542561</v>
      </c>
      <c r="O37">
        <f t="shared" si="2"/>
        <v>1423</v>
      </c>
      <c r="P37">
        <f t="shared" si="3"/>
        <v>29.976109558604179</v>
      </c>
      <c r="R37">
        <v>284609</v>
      </c>
      <c r="S37" t="s">
        <v>21</v>
      </c>
      <c r="T37">
        <v>1903.75</v>
      </c>
    </row>
    <row r="38" spans="1:20" x14ac:dyDescent="0.2">
      <c r="A38">
        <v>290735</v>
      </c>
      <c r="B38" t="s">
        <v>13</v>
      </c>
      <c r="C38">
        <v>14.782536304938382</v>
      </c>
      <c r="E38">
        <v>291329</v>
      </c>
      <c r="F38" t="s">
        <v>19</v>
      </c>
      <c r="G38">
        <v>5.8885321518464928E-2</v>
      </c>
      <c r="I38">
        <f t="shared" si="0"/>
        <v>594</v>
      </c>
      <c r="J38">
        <f t="shared" si="1"/>
        <v>-14.723650983419917</v>
      </c>
      <c r="L38">
        <v>292177</v>
      </c>
      <c r="M38" t="s">
        <v>30</v>
      </c>
      <c r="N38">
        <v>37.782330678719497</v>
      </c>
      <c r="O38">
        <f t="shared" si="2"/>
        <v>1442</v>
      </c>
      <c r="P38">
        <f t="shared" si="3"/>
        <v>22.999794373781114</v>
      </c>
      <c r="R38">
        <v>291541</v>
      </c>
      <c r="S38" t="s">
        <v>21</v>
      </c>
      <c r="T38">
        <v>899.75</v>
      </c>
    </row>
    <row r="39" spans="1:20" x14ac:dyDescent="0.2">
      <c r="A39">
        <v>297699</v>
      </c>
      <c r="B39" t="s">
        <v>13</v>
      </c>
      <c r="C39">
        <v>14.782536304938382</v>
      </c>
      <c r="E39">
        <v>298303</v>
      </c>
      <c r="F39" t="s">
        <v>19</v>
      </c>
      <c r="G39">
        <v>15.405763463965092</v>
      </c>
      <c r="I39">
        <f t="shared" si="0"/>
        <v>604</v>
      </c>
      <c r="J39">
        <f t="shared" si="1"/>
        <v>0.62322715902671</v>
      </c>
      <c r="L39">
        <v>299151</v>
      </c>
      <c r="M39" t="s">
        <v>30</v>
      </c>
      <c r="N39">
        <v>42.104455263079736</v>
      </c>
      <c r="O39">
        <f t="shared" si="2"/>
        <v>1452</v>
      </c>
      <c r="P39">
        <f t="shared" si="3"/>
        <v>27.321918958141353</v>
      </c>
      <c r="R39">
        <v>298525</v>
      </c>
      <c r="S39" t="s">
        <v>21</v>
      </c>
      <c r="T39">
        <v>2186.25</v>
      </c>
    </row>
    <row r="40" spans="1:20" x14ac:dyDescent="0.2">
      <c r="A40">
        <v>304711</v>
      </c>
      <c r="B40" t="s">
        <v>13</v>
      </c>
      <c r="C40">
        <v>14.800666022154658</v>
      </c>
      <c r="E40">
        <v>305305</v>
      </c>
      <c r="F40" t="s">
        <v>19</v>
      </c>
      <c r="G40">
        <v>15.120184158374309</v>
      </c>
      <c r="I40">
        <f t="shared" si="0"/>
        <v>594</v>
      </c>
      <c r="J40">
        <f t="shared" si="1"/>
        <v>0.31951813621965108</v>
      </c>
      <c r="L40">
        <v>306144</v>
      </c>
      <c r="M40" t="s">
        <v>30</v>
      </c>
      <c r="N40">
        <v>41.712853371208169</v>
      </c>
      <c r="O40">
        <f t="shared" si="2"/>
        <v>1433</v>
      </c>
      <c r="P40">
        <f t="shared" si="3"/>
        <v>26.912187349053511</v>
      </c>
      <c r="R40">
        <v>305517</v>
      </c>
      <c r="S40" t="s">
        <v>21</v>
      </c>
      <c r="T40">
        <v>2335.75</v>
      </c>
    </row>
    <row r="41" spans="1:20" x14ac:dyDescent="0.2">
      <c r="A41">
        <v>311734</v>
      </c>
      <c r="B41" t="s">
        <v>13</v>
      </c>
      <c r="C41">
        <v>14.800666022154658</v>
      </c>
      <c r="E41">
        <v>312349</v>
      </c>
      <c r="F41" t="s">
        <v>19</v>
      </c>
      <c r="G41">
        <v>14.917421401027477</v>
      </c>
      <c r="I41">
        <f t="shared" si="0"/>
        <v>615</v>
      </c>
      <c r="J41">
        <f t="shared" si="1"/>
        <v>0.11675537887281884</v>
      </c>
      <c r="L41">
        <v>313167</v>
      </c>
      <c r="M41" t="s">
        <v>30</v>
      </c>
      <c r="N41">
        <v>41.321251479336603</v>
      </c>
      <c r="O41">
        <f t="shared" si="2"/>
        <v>1433</v>
      </c>
      <c r="P41">
        <f t="shared" si="3"/>
        <v>26.520585457181944</v>
      </c>
      <c r="R41">
        <v>312561</v>
      </c>
      <c r="S41" t="s">
        <v>21</v>
      </c>
      <c r="T41">
        <v>1082.25</v>
      </c>
    </row>
    <row r="42" spans="1:20" x14ac:dyDescent="0.2">
      <c r="A42">
        <v>318697</v>
      </c>
      <c r="B42" t="s">
        <v>13</v>
      </c>
      <c r="C42">
        <v>14.800666022154658</v>
      </c>
      <c r="E42">
        <v>319291</v>
      </c>
      <c r="F42" t="s">
        <v>19</v>
      </c>
      <c r="G42">
        <v>15.519037937132385</v>
      </c>
      <c r="I42">
        <f t="shared" si="0"/>
        <v>594</v>
      </c>
      <c r="J42">
        <f t="shared" si="1"/>
        <v>0.71837191497772679</v>
      </c>
      <c r="L42">
        <v>320128</v>
      </c>
      <c r="M42" t="s">
        <v>30</v>
      </c>
      <c r="N42">
        <v>67.863157483964883</v>
      </c>
      <c r="O42">
        <f t="shared" si="2"/>
        <v>1431</v>
      </c>
      <c r="P42">
        <f t="shared" si="3"/>
        <v>53.062491461810225</v>
      </c>
      <c r="R42">
        <v>319503</v>
      </c>
      <c r="S42" t="s">
        <v>21</v>
      </c>
      <c r="T42">
        <v>1648.75</v>
      </c>
    </row>
    <row r="43" spans="1:20" x14ac:dyDescent="0.2">
      <c r="A43">
        <v>325679</v>
      </c>
      <c r="B43" t="s">
        <v>13</v>
      </c>
      <c r="C43">
        <v>14.800666022154658</v>
      </c>
      <c r="E43">
        <v>326273</v>
      </c>
      <c r="F43" t="s">
        <v>19</v>
      </c>
      <c r="G43">
        <v>15.608526221311925</v>
      </c>
      <c r="I43">
        <f t="shared" si="0"/>
        <v>594</v>
      </c>
      <c r="J43">
        <f t="shared" si="1"/>
        <v>0.80786019915726648</v>
      </c>
      <c r="L43">
        <v>327091</v>
      </c>
      <c r="M43" t="s">
        <v>30</v>
      </c>
      <c r="N43">
        <v>48.587642139620087</v>
      </c>
      <c r="O43">
        <f t="shared" si="2"/>
        <v>1412</v>
      </c>
      <c r="P43">
        <f t="shared" si="3"/>
        <v>33.786976117465429</v>
      </c>
      <c r="R43">
        <v>326475</v>
      </c>
      <c r="S43" t="s">
        <v>21</v>
      </c>
      <c r="T43">
        <v>3062.75</v>
      </c>
    </row>
    <row r="44" spans="1:20" x14ac:dyDescent="0.2">
      <c r="A44">
        <v>332631</v>
      </c>
      <c r="B44" t="s">
        <v>13</v>
      </c>
      <c r="C44">
        <v>14.782536304938382</v>
      </c>
      <c r="E44">
        <v>333225</v>
      </c>
      <c r="F44" t="s">
        <v>19</v>
      </c>
      <c r="G44">
        <v>15.301481330537072</v>
      </c>
      <c r="I44">
        <f t="shared" si="0"/>
        <v>594</v>
      </c>
      <c r="J44">
        <f t="shared" si="1"/>
        <v>0.51894502559868982</v>
      </c>
      <c r="L44">
        <v>334043</v>
      </c>
      <c r="M44" t="s">
        <v>30</v>
      </c>
      <c r="N44">
        <v>39.363242019978777</v>
      </c>
      <c r="O44">
        <f t="shared" si="2"/>
        <v>1412</v>
      </c>
      <c r="P44">
        <f t="shared" si="3"/>
        <v>24.580705715040395</v>
      </c>
      <c r="R44">
        <v>333437</v>
      </c>
      <c r="S44" t="s">
        <v>21</v>
      </c>
      <c r="T44">
        <v>2243.25</v>
      </c>
    </row>
    <row r="45" spans="1:20" x14ac:dyDescent="0.2">
      <c r="A45">
        <v>339715</v>
      </c>
      <c r="B45" t="s">
        <v>13</v>
      </c>
      <c r="C45">
        <v>14.800666022154658</v>
      </c>
      <c r="E45">
        <v>340318</v>
      </c>
      <c r="F45" t="s">
        <v>19</v>
      </c>
      <c r="G45">
        <v>18.927424773792303</v>
      </c>
      <c r="I45">
        <f t="shared" si="0"/>
        <v>603</v>
      </c>
      <c r="J45">
        <f t="shared" si="1"/>
        <v>4.1267587516376452</v>
      </c>
      <c r="L45">
        <v>341165</v>
      </c>
      <c r="M45" t="s">
        <v>30</v>
      </c>
      <c r="N45">
        <v>55.244874301436688</v>
      </c>
      <c r="O45">
        <f t="shared" si="2"/>
        <v>1450</v>
      </c>
      <c r="P45">
        <f t="shared" si="3"/>
        <v>40.44420827928203</v>
      </c>
      <c r="R45">
        <v>340530</v>
      </c>
      <c r="S45" t="s">
        <v>21</v>
      </c>
      <c r="T45">
        <v>2947.25</v>
      </c>
    </row>
    <row r="46" spans="1:20" x14ac:dyDescent="0.2">
      <c r="A46">
        <v>346745</v>
      </c>
      <c r="B46" t="s">
        <v>13</v>
      </c>
      <c r="C46">
        <v>14.800666022154658</v>
      </c>
      <c r="E46">
        <v>347339</v>
      </c>
      <c r="F46" t="s">
        <v>19</v>
      </c>
      <c r="G46">
        <v>15.528030276871656</v>
      </c>
      <c r="I46">
        <f t="shared" si="0"/>
        <v>594</v>
      </c>
      <c r="J46">
        <f t="shared" si="1"/>
        <v>0.72736425471699739</v>
      </c>
      <c r="L46">
        <v>348159</v>
      </c>
      <c r="M46" t="s">
        <v>30</v>
      </c>
      <c r="N46">
        <v>46.267038335936739</v>
      </c>
      <c r="O46">
        <f t="shared" si="2"/>
        <v>1414</v>
      </c>
      <c r="P46">
        <f t="shared" si="3"/>
        <v>31.466372313782081</v>
      </c>
      <c r="R46">
        <v>347552</v>
      </c>
      <c r="S46" t="s">
        <v>21</v>
      </c>
      <c r="T46">
        <v>2771.75</v>
      </c>
    </row>
    <row r="47" spans="1:20" x14ac:dyDescent="0.2">
      <c r="A47">
        <v>353720</v>
      </c>
      <c r="B47" t="s">
        <v>13</v>
      </c>
      <c r="C47">
        <v>14.782536304938382</v>
      </c>
      <c r="E47">
        <v>354314</v>
      </c>
      <c r="F47" t="s">
        <v>19</v>
      </c>
      <c r="G47">
        <v>15.079428554072122</v>
      </c>
      <c r="I47">
        <f t="shared" si="0"/>
        <v>594</v>
      </c>
      <c r="J47">
        <f t="shared" si="1"/>
        <v>0.29689224913373913</v>
      </c>
      <c r="L47">
        <v>355142</v>
      </c>
      <c r="M47" t="s">
        <v>30</v>
      </c>
      <c r="N47">
        <v>52.358623320605524</v>
      </c>
      <c r="O47">
        <f t="shared" si="2"/>
        <v>1422</v>
      </c>
      <c r="P47">
        <f t="shared" si="3"/>
        <v>37.576087015667142</v>
      </c>
      <c r="R47">
        <v>354526</v>
      </c>
      <c r="S47" t="s">
        <v>21</v>
      </c>
      <c r="T47">
        <v>2670.25</v>
      </c>
    </row>
    <row r="48" spans="1:20" x14ac:dyDescent="0.2">
      <c r="A48">
        <v>360681</v>
      </c>
      <c r="B48" t="s">
        <v>13</v>
      </c>
      <c r="C48">
        <v>14.782536304938382</v>
      </c>
      <c r="E48">
        <v>361275</v>
      </c>
      <c r="F48" t="s">
        <v>19</v>
      </c>
      <c r="G48">
        <v>15.372839897500334</v>
      </c>
      <c r="I48">
        <f t="shared" si="0"/>
        <v>594</v>
      </c>
      <c r="J48">
        <f t="shared" si="1"/>
        <v>0.59030359256195197</v>
      </c>
      <c r="L48">
        <v>362103</v>
      </c>
      <c r="M48" t="s">
        <v>30</v>
      </c>
      <c r="N48">
        <v>63.381491388101423</v>
      </c>
      <c r="O48">
        <f t="shared" si="2"/>
        <v>1422</v>
      </c>
      <c r="P48">
        <f t="shared" si="3"/>
        <v>48.598955083163041</v>
      </c>
      <c r="R48">
        <v>361487</v>
      </c>
      <c r="S48" t="s">
        <v>21</v>
      </c>
      <c r="T48">
        <v>2888.25</v>
      </c>
    </row>
    <row r="49" spans="1:20" x14ac:dyDescent="0.2">
      <c r="A49">
        <v>367663</v>
      </c>
      <c r="B49" t="s">
        <v>13</v>
      </c>
      <c r="C49">
        <v>14.764406587722107</v>
      </c>
      <c r="E49">
        <v>368267</v>
      </c>
      <c r="F49" t="s">
        <v>19</v>
      </c>
      <c r="G49">
        <v>15.283351613320795</v>
      </c>
      <c r="I49">
        <f t="shared" si="0"/>
        <v>604</v>
      </c>
      <c r="J49">
        <f t="shared" si="1"/>
        <v>0.51894502559868805</v>
      </c>
      <c r="L49">
        <v>369096</v>
      </c>
      <c r="M49" t="s">
        <v>30</v>
      </c>
      <c r="N49">
        <v>59.683029075981089</v>
      </c>
      <c r="O49">
        <f t="shared" si="2"/>
        <v>1433</v>
      </c>
      <c r="P49">
        <f t="shared" si="3"/>
        <v>44.918622488258983</v>
      </c>
      <c r="R49">
        <v>368479</v>
      </c>
      <c r="S49" t="s">
        <v>21</v>
      </c>
      <c r="T49">
        <v>2418.75</v>
      </c>
    </row>
    <row r="50" spans="1:20" x14ac:dyDescent="0.2">
      <c r="A50">
        <v>374616</v>
      </c>
      <c r="B50" t="s">
        <v>13</v>
      </c>
      <c r="C50">
        <v>14.746857021456751</v>
      </c>
      <c r="E50">
        <v>375210</v>
      </c>
      <c r="F50" t="s">
        <v>19</v>
      </c>
      <c r="G50">
        <v>15.172252706219453</v>
      </c>
      <c r="I50">
        <f t="shared" si="0"/>
        <v>594</v>
      </c>
      <c r="J50">
        <f t="shared" si="1"/>
        <v>0.42539568476270162</v>
      </c>
      <c r="L50">
        <v>376028</v>
      </c>
      <c r="M50" t="s">
        <v>30</v>
      </c>
      <c r="N50">
        <v>43.337276033786509</v>
      </c>
      <c r="O50">
        <f t="shared" si="2"/>
        <v>1412</v>
      </c>
      <c r="P50">
        <f t="shared" si="3"/>
        <v>28.590419012329757</v>
      </c>
      <c r="R50">
        <v>375422</v>
      </c>
      <c r="S50" t="s">
        <v>21</v>
      </c>
      <c r="T50">
        <v>2758.25</v>
      </c>
    </row>
    <row r="51" spans="1:20" x14ac:dyDescent="0.2">
      <c r="A51">
        <v>381559</v>
      </c>
      <c r="B51" t="s">
        <v>13</v>
      </c>
      <c r="C51">
        <v>14.728727304240476</v>
      </c>
      <c r="E51">
        <v>382153</v>
      </c>
      <c r="F51" t="s">
        <v>19</v>
      </c>
      <c r="G51">
        <v>26.343639417151088</v>
      </c>
      <c r="I51">
        <f t="shared" si="0"/>
        <v>594</v>
      </c>
      <c r="J51">
        <f t="shared" si="1"/>
        <v>11.614912112910613</v>
      </c>
      <c r="L51">
        <v>382981</v>
      </c>
      <c r="M51" t="s">
        <v>30</v>
      </c>
      <c r="N51">
        <v>73.011997173387314</v>
      </c>
      <c r="O51">
        <f t="shared" si="2"/>
        <v>1422</v>
      </c>
      <c r="P51">
        <f t="shared" si="3"/>
        <v>58.283269869146835</v>
      </c>
      <c r="R51">
        <v>382365</v>
      </c>
      <c r="S51" t="s">
        <v>21</v>
      </c>
      <c r="T51">
        <v>3905.75</v>
      </c>
    </row>
    <row r="52" spans="1:20" x14ac:dyDescent="0.2">
      <c r="A52">
        <v>388522</v>
      </c>
      <c r="B52" t="s">
        <v>13</v>
      </c>
      <c r="C52">
        <v>14.7105975870242</v>
      </c>
      <c r="E52">
        <v>389106</v>
      </c>
      <c r="F52" t="s">
        <v>19</v>
      </c>
      <c r="G52">
        <v>15.717304524609581</v>
      </c>
      <c r="I52">
        <f t="shared" si="0"/>
        <v>584</v>
      </c>
      <c r="J52">
        <f t="shared" si="1"/>
        <v>1.0067069375853812</v>
      </c>
      <c r="L52">
        <v>389934</v>
      </c>
      <c r="M52" t="s">
        <v>30</v>
      </c>
      <c r="N52">
        <v>45.614368516150797</v>
      </c>
      <c r="O52">
        <f t="shared" si="2"/>
        <v>1412</v>
      </c>
      <c r="P52">
        <f t="shared" si="3"/>
        <v>30.903770929126598</v>
      </c>
      <c r="R52">
        <v>389318</v>
      </c>
      <c r="S52" t="s">
        <v>21</v>
      </c>
      <c r="T52">
        <v>2583.25</v>
      </c>
    </row>
    <row r="53" spans="1:20" x14ac:dyDescent="0.2">
      <c r="A53">
        <v>395445</v>
      </c>
      <c r="B53" t="s">
        <v>13</v>
      </c>
      <c r="C53">
        <v>14.693048020758845</v>
      </c>
      <c r="E53">
        <v>396039</v>
      </c>
      <c r="F53" t="s">
        <v>19</v>
      </c>
      <c r="G53">
        <v>15.011405855076653</v>
      </c>
      <c r="I53">
        <f t="shared" si="0"/>
        <v>594</v>
      </c>
      <c r="J53">
        <f t="shared" si="1"/>
        <v>0.3183578343178084</v>
      </c>
      <c r="L53">
        <v>396857</v>
      </c>
      <c r="M53" t="s">
        <v>30</v>
      </c>
      <c r="N53">
        <v>43.395291128878597</v>
      </c>
      <c r="O53">
        <f t="shared" si="2"/>
        <v>1412</v>
      </c>
      <c r="P53">
        <f t="shared" si="3"/>
        <v>28.702243108119752</v>
      </c>
      <c r="R53">
        <v>396251</v>
      </c>
      <c r="S53" t="s">
        <v>21</v>
      </c>
      <c r="T53">
        <v>1904.75</v>
      </c>
    </row>
    <row r="54" spans="1:20" x14ac:dyDescent="0.2">
      <c r="A54">
        <v>402378</v>
      </c>
      <c r="B54" t="s">
        <v>13</v>
      </c>
      <c r="C54">
        <v>14.674918303542567</v>
      </c>
      <c r="E54">
        <v>402962</v>
      </c>
      <c r="F54" t="s">
        <v>19</v>
      </c>
      <c r="G54">
        <v>14.876520758987558</v>
      </c>
      <c r="I54">
        <f t="shared" si="0"/>
        <v>584</v>
      </c>
      <c r="J54">
        <f t="shared" si="1"/>
        <v>0.20160245544499134</v>
      </c>
      <c r="L54">
        <v>403780</v>
      </c>
      <c r="M54" t="s">
        <v>30</v>
      </c>
      <c r="N54">
        <v>44.28002132903287</v>
      </c>
      <c r="O54">
        <f t="shared" si="2"/>
        <v>1402</v>
      </c>
      <c r="P54">
        <f t="shared" si="3"/>
        <v>29.605103025490301</v>
      </c>
      <c r="R54">
        <v>403174</v>
      </c>
      <c r="S54" t="s">
        <v>21</v>
      </c>
      <c r="T54">
        <v>1615.25</v>
      </c>
    </row>
    <row r="55" spans="1:20" x14ac:dyDescent="0.2">
      <c r="A55">
        <v>409311</v>
      </c>
      <c r="B55" t="s">
        <v>13</v>
      </c>
      <c r="C55">
        <v>14.674918303542567</v>
      </c>
      <c r="E55">
        <v>409895</v>
      </c>
      <c r="F55" t="s">
        <v>19</v>
      </c>
      <c r="G55">
        <v>14.672597699738885</v>
      </c>
      <c r="I55">
        <f t="shared" si="0"/>
        <v>584</v>
      </c>
      <c r="J55">
        <f t="shared" si="1"/>
        <v>-2.32060380368182E-3</v>
      </c>
      <c r="L55">
        <v>410724</v>
      </c>
      <c r="M55" t="s">
        <v>30</v>
      </c>
      <c r="N55">
        <v>43.8159005682962</v>
      </c>
      <c r="O55">
        <f t="shared" si="2"/>
        <v>1413</v>
      </c>
      <c r="P55">
        <f t="shared" si="3"/>
        <v>29.140982264753632</v>
      </c>
      <c r="R55">
        <v>410108</v>
      </c>
      <c r="S55" t="s">
        <v>21</v>
      </c>
      <c r="T55">
        <v>1021.25</v>
      </c>
    </row>
    <row r="56" spans="1:20" x14ac:dyDescent="0.2">
      <c r="A56">
        <v>416275</v>
      </c>
      <c r="B56" t="s">
        <v>13</v>
      </c>
      <c r="C56">
        <v>14.674918303542567</v>
      </c>
      <c r="E56">
        <v>416869</v>
      </c>
      <c r="F56" t="s">
        <v>19</v>
      </c>
      <c r="G56">
        <v>14.997772307730013</v>
      </c>
      <c r="I56">
        <f t="shared" si="0"/>
        <v>594</v>
      </c>
      <c r="J56">
        <f t="shared" si="1"/>
        <v>0.32285400418744636</v>
      </c>
      <c r="L56">
        <v>417697</v>
      </c>
      <c r="M56" t="s">
        <v>30</v>
      </c>
      <c r="N56">
        <v>56.738763000057844</v>
      </c>
      <c r="O56">
        <f t="shared" si="2"/>
        <v>1422</v>
      </c>
      <c r="P56">
        <f t="shared" si="3"/>
        <v>42.063844696515275</v>
      </c>
      <c r="R56">
        <v>417081</v>
      </c>
      <c r="S56" t="s">
        <v>21</v>
      </c>
      <c r="T56">
        <v>1623.75</v>
      </c>
    </row>
    <row r="57" spans="1:20" x14ac:dyDescent="0.2">
      <c r="A57">
        <v>423245</v>
      </c>
      <c r="B57" t="s">
        <v>13</v>
      </c>
      <c r="C57">
        <v>14.674918303542567</v>
      </c>
      <c r="E57">
        <v>423849</v>
      </c>
      <c r="F57" t="s">
        <v>19</v>
      </c>
      <c r="G57">
        <v>14.835765154685369</v>
      </c>
      <c r="I57">
        <f t="shared" si="0"/>
        <v>604</v>
      </c>
      <c r="J57">
        <f t="shared" si="1"/>
        <v>0.16084685114280184</v>
      </c>
      <c r="L57">
        <v>424678</v>
      </c>
      <c r="M57" t="s">
        <v>30</v>
      </c>
      <c r="N57">
        <v>39.073166544518358</v>
      </c>
      <c r="O57">
        <f t="shared" si="2"/>
        <v>1433</v>
      </c>
      <c r="P57">
        <f t="shared" si="3"/>
        <v>24.398248240975789</v>
      </c>
      <c r="R57">
        <v>424062</v>
      </c>
      <c r="S57" t="s">
        <v>21</v>
      </c>
      <c r="T57">
        <v>1335.25</v>
      </c>
    </row>
    <row r="58" spans="1:20" x14ac:dyDescent="0.2">
      <c r="A58">
        <v>430271</v>
      </c>
      <c r="B58" t="s">
        <v>13</v>
      </c>
      <c r="C58">
        <v>14.674918303542567</v>
      </c>
      <c r="E58">
        <v>430855</v>
      </c>
      <c r="F58" t="s">
        <v>19</v>
      </c>
      <c r="G58">
        <v>14.808643097729821</v>
      </c>
      <c r="I58">
        <f t="shared" si="0"/>
        <v>584</v>
      </c>
      <c r="J58">
        <f t="shared" si="1"/>
        <v>0.13372479418725369</v>
      </c>
      <c r="L58">
        <v>431683</v>
      </c>
      <c r="M58" t="s">
        <v>30</v>
      </c>
      <c r="N58">
        <v>54.722738445607931</v>
      </c>
      <c r="O58">
        <f t="shared" si="2"/>
        <v>1412</v>
      </c>
      <c r="P58">
        <f t="shared" si="3"/>
        <v>40.047820142065362</v>
      </c>
      <c r="R58">
        <v>431067</v>
      </c>
      <c r="S58" t="s">
        <v>21</v>
      </c>
      <c r="T58">
        <v>1165.75</v>
      </c>
    </row>
    <row r="59" spans="1:20" x14ac:dyDescent="0.2">
      <c r="A59">
        <v>437274</v>
      </c>
      <c r="B59" t="s">
        <v>13</v>
      </c>
      <c r="C59">
        <v>14.674918303542567</v>
      </c>
      <c r="E59">
        <v>437878</v>
      </c>
      <c r="F59" t="s">
        <v>19</v>
      </c>
      <c r="G59">
        <v>15.189367159271619</v>
      </c>
      <c r="I59">
        <f t="shared" si="0"/>
        <v>604</v>
      </c>
      <c r="J59">
        <f t="shared" si="1"/>
        <v>0.51444885572905186</v>
      </c>
      <c r="L59">
        <v>438717</v>
      </c>
      <c r="M59" t="s">
        <v>30</v>
      </c>
      <c r="N59">
        <v>42.322011869675045</v>
      </c>
      <c r="O59">
        <f t="shared" si="2"/>
        <v>1443</v>
      </c>
      <c r="P59">
        <f t="shared" si="3"/>
        <v>27.647093566132476</v>
      </c>
      <c r="R59">
        <v>438101</v>
      </c>
      <c r="S59" t="s">
        <v>21</v>
      </c>
      <c r="T59">
        <v>1818.75</v>
      </c>
    </row>
    <row r="60" spans="1:20" x14ac:dyDescent="0.2">
      <c r="A60">
        <v>444269</v>
      </c>
      <c r="B60" t="s">
        <v>13</v>
      </c>
      <c r="C60">
        <v>14.674918303542567</v>
      </c>
      <c r="E60">
        <v>444863</v>
      </c>
      <c r="F60" t="s">
        <v>19</v>
      </c>
      <c r="G60">
        <v>14.961512873297462</v>
      </c>
      <c r="I60">
        <f t="shared" si="0"/>
        <v>594</v>
      </c>
      <c r="J60">
        <f t="shared" si="1"/>
        <v>0.28659456975489483</v>
      </c>
      <c r="L60">
        <v>445681</v>
      </c>
      <c r="M60" t="s">
        <v>30</v>
      </c>
      <c r="N60">
        <v>51.053283681033641</v>
      </c>
      <c r="O60">
        <f t="shared" si="2"/>
        <v>1412</v>
      </c>
      <c r="P60">
        <f t="shared" si="3"/>
        <v>36.378365377491072</v>
      </c>
      <c r="R60">
        <v>445075</v>
      </c>
      <c r="S60" t="s">
        <v>21</v>
      </c>
      <c r="T60">
        <v>1547.75</v>
      </c>
    </row>
    <row r="61" spans="1:20" x14ac:dyDescent="0.2">
      <c r="A61">
        <v>451212</v>
      </c>
      <c r="B61" t="s">
        <v>13</v>
      </c>
      <c r="C61">
        <v>14.674918303542567</v>
      </c>
      <c r="E61">
        <v>451806</v>
      </c>
      <c r="F61" t="s">
        <v>19</v>
      </c>
      <c r="G61">
        <v>14.756429512146946</v>
      </c>
      <c r="I61">
        <f t="shared" si="0"/>
        <v>594</v>
      </c>
      <c r="J61">
        <f t="shared" si="1"/>
        <v>8.1511208604378993E-2</v>
      </c>
      <c r="L61">
        <v>452664</v>
      </c>
      <c r="M61" t="s">
        <v>30</v>
      </c>
      <c r="N61">
        <v>40.538047695593477</v>
      </c>
      <c r="O61">
        <f t="shared" si="2"/>
        <v>1452</v>
      </c>
      <c r="P61">
        <f t="shared" si="3"/>
        <v>25.863129392050908</v>
      </c>
      <c r="R61">
        <v>452018</v>
      </c>
      <c r="S61" t="s">
        <v>21</v>
      </c>
      <c r="T61">
        <v>945.25</v>
      </c>
    </row>
    <row r="62" spans="1:20" x14ac:dyDescent="0.2">
      <c r="A62">
        <v>458233</v>
      </c>
      <c r="B62" t="s">
        <v>13</v>
      </c>
      <c r="C62">
        <v>14.674918303542567</v>
      </c>
      <c r="E62">
        <v>458837</v>
      </c>
      <c r="F62" t="s">
        <v>19</v>
      </c>
      <c r="G62">
        <v>14.917421401027477</v>
      </c>
      <c r="I62">
        <f t="shared" si="0"/>
        <v>604</v>
      </c>
      <c r="J62">
        <f t="shared" si="1"/>
        <v>0.24250309748491006</v>
      </c>
      <c r="L62">
        <v>459675</v>
      </c>
      <c r="M62" t="s">
        <v>30</v>
      </c>
      <c r="N62">
        <v>45.295285493144334</v>
      </c>
      <c r="O62">
        <f t="shared" si="2"/>
        <v>1442</v>
      </c>
      <c r="P62">
        <f t="shared" si="3"/>
        <v>30.620367189601765</v>
      </c>
      <c r="R62">
        <v>459059</v>
      </c>
      <c r="S62" t="s">
        <v>21</v>
      </c>
      <c r="T62">
        <v>1944.75</v>
      </c>
    </row>
    <row r="63" spans="1:20" x14ac:dyDescent="0.2">
      <c r="A63">
        <v>465302</v>
      </c>
      <c r="B63" t="s">
        <v>13</v>
      </c>
      <c r="C63">
        <v>14.674918303542567</v>
      </c>
      <c r="E63">
        <v>465897</v>
      </c>
      <c r="F63" t="s">
        <v>19</v>
      </c>
      <c r="G63">
        <v>14.764406587722107</v>
      </c>
      <c r="I63">
        <f t="shared" si="0"/>
        <v>595</v>
      </c>
      <c r="J63">
        <f t="shared" si="1"/>
        <v>8.948828417953969E-2</v>
      </c>
      <c r="L63">
        <v>466727</v>
      </c>
      <c r="M63" t="s">
        <v>30</v>
      </c>
      <c r="N63">
        <v>39.812859006942425</v>
      </c>
      <c r="O63">
        <f t="shared" si="2"/>
        <v>1425</v>
      </c>
      <c r="P63">
        <f t="shared" si="3"/>
        <v>25.137940703399856</v>
      </c>
      <c r="R63">
        <v>466109</v>
      </c>
      <c r="S63" t="s">
        <v>21</v>
      </c>
      <c r="T63">
        <v>1076.75</v>
      </c>
    </row>
    <row r="64" spans="1:20" x14ac:dyDescent="0.2">
      <c r="A64">
        <v>472467</v>
      </c>
      <c r="B64" t="s">
        <v>13</v>
      </c>
      <c r="C64">
        <v>14.674918303542567</v>
      </c>
      <c r="E64">
        <v>473051</v>
      </c>
      <c r="F64" t="s">
        <v>19</v>
      </c>
      <c r="G64">
        <v>14.826772814946096</v>
      </c>
      <c r="I64">
        <f t="shared" si="0"/>
        <v>584</v>
      </c>
      <c r="J64">
        <f t="shared" si="1"/>
        <v>0.15185451140352946</v>
      </c>
      <c r="L64">
        <v>473888</v>
      </c>
      <c r="M64" t="s">
        <v>30</v>
      </c>
      <c r="N64">
        <v>40.813619397280874</v>
      </c>
      <c r="O64">
        <f t="shared" si="2"/>
        <v>1421</v>
      </c>
      <c r="P64">
        <f t="shared" si="3"/>
        <v>26.138701093738305</v>
      </c>
      <c r="R64">
        <v>473263</v>
      </c>
      <c r="S64" t="s">
        <v>21</v>
      </c>
      <c r="T64">
        <v>1583.75</v>
      </c>
    </row>
    <row r="65" spans="1:20" x14ac:dyDescent="0.2">
      <c r="A65">
        <v>479539</v>
      </c>
      <c r="B65" t="s">
        <v>13</v>
      </c>
      <c r="C65">
        <v>14.674918303542567</v>
      </c>
      <c r="E65">
        <v>480133</v>
      </c>
      <c r="F65" t="s">
        <v>19</v>
      </c>
      <c r="G65">
        <v>14.757589814048787</v>
      </c>
      <c r="I65">
        <f t="shared" si="0"/>
        <v>594</v>
      </c>
      <c r="J65">
        <f t="shared" si="1"/>
        <v>8.2671510506219903E-2</v>
      </c>
      <c r="L65">
        <v>480964</v>
      </c>
      <c r="M65" t="s">
        <v>30</v>
      </c>
      <c r="N65">
        <v>46.063985503114445</v>
      </c>
      <c r="O65">
        <f t="shared" si="2"/>
        <v>1425</v>
      </c>
      <c r="P65">
        <f t="shared" si="3"/>
        <v>31.389067199571876</v>
      </c>
      <c r="R65">
        <v>480347</v>
      </c>
      <c r="S65" t="s">
        <v>21</v>
      </c>
      <c r="T65">
        <v>1601.75</v>
      </c>
    </row>
    <row r="66" spans="1:20" x14ac:dyDescent="0.2">
      <c r="A66">
        <v>486483</v>
      </c>
      <c r="B66" t="s">
        <v>13</v>
      </c>
      <c r="C66">
        <v>14.674918303542567</v>
      </c>
      <c r="E66">
        <v>487068</v>
      </c>
      <c r="F66" t="s">
        <v>19</v>
      </c>
      <c r="G66">
        <v>14.649971812652971</v>
      </c>
      <c r="I66">
        <f t="shared" si="0"/>
        <v>585</v>
      </c>
      <c r="J66">
        <f t="shared" si="1"/>
        <v>-2.4946490889595552E-2</v>
      </c>
      <c r="L66">
        <v>487906</v>
      </c>
      <c r="M66" t="s">
        <v>30</v>
      </c>
      <c r="N66">
        <v>44.584600578266311</v>
      </c>
      <c r="O66">
        <f t="shared" si="2"/>
        <v>1423</v>
      </c>
      <c r="P66">
        <f t="shared" si="3"/>
        <v>29.909682274723743</v>
      </c>
      <c r="R66">
        <v>487280</v>
      </c>
      <c r="S66" t="s">
        <v>21</v>
      </c>
      <c r="T66">
        <v>1077.75</v>
      </c>
    </row>
    <row r="67" spans="1:20" x14ac:dyDescent="0.2">
      <c r="A67">
        <v>493395</v>
      </c>
      <c r="B67" t="s">
        <v>13</v>
      </c>
      <c r="C67">
        <v>14.674918303542567</v>
      </c>
      <c r="E67">
        <v>493979</v>
      </c>
      <c r="F67" t="s">
        <v>19</v>
      </c>
      <c r="G67">
        <v>14.791528644677657</v>
      </c>
      <c r="I67">
        <f t="shared" ref="I67:I74" si="4">E67-A67</f>
        <v>584</v>
      </c>
      <c r="J67">
        <f t="shared" ref="J67:J74" si="5">G67-C67</f>
        <v>0.11661034113508961</v>
      </c>
      <c r="L67">
        <v>494808</v>
      </c>
      <c r="M67" t="s">
        <v>30</v>
      </c>
      <c r="N67">
        <v>38.855609937923049</v>
      </c>
      <c r="O67">
        <f t="shared" ref="O67:O74" si="6">L67-A67</f>
        <v>1413</v>
      </c>
      <c r="P67">
        <f t="shared" ref="P67:P74" si="7">N67-C67</f>
        <v>24.18069163438048</v>
      </c>
      <c r="R67">
        <v>494191</v>
      </c>
      <c r="S67" t="s">
        <v>21</v>
      </c>
      <c r="T67">
        <v>1675.75</v>
      </c>
    </row>
    <row r="68" spans="1:20" x14ac:dyDescent="0.2">
      <c r="A68">
        <v>500319</v>
      </c>
      <c r="B68" t="s">
        <v>13</v>
      </c>
      <c r="C68">
        <v>14.674918303542567</v>
      </c>
      <c r="E68">
        <v>500913</v>
      </c>
      <c r="F68" t="s">
        <v>19</v>
      </c>
      <c r="G68">
        <v>14.835765154685369</v>
      </c>
      <c r="I68">
        <f t="shared" si="4"/>
        <v>594</v>
      </c>
      <c r="J68">
        <f t="shared" si="5"/>
        <v>0.16084685114280184</v>
      </c>
      <c r="L68">
        <v>501732</v>
      </c>
      <c r="M68" t="s">
        <v>30</v>
      </c>
      <c r="N68">
        <v>38.028894832860857</v>
      </c>
      <c r="O68">
        <f t="shared" si="6"/>
        <v>1413</v>
      </c>
      <c r="P68">
        <f t="shared" si="7"/>
        <v>23.353976529318288</v>
      </c>
      <c r="R68">
        <v>501125</v>
      </c>
      <c r="S68" t="s">
        <v>21</v>
      </c>
      <c r="T68">
        <v>1427.75</v>
      </c>
    </row>
    <row r="69" spans="1:20" x14ac:dyDescent="0.2">
      <c r="A69">
        <v>507275</v>
      </c>
      <c r="B69" t="s">
        <v>13</v>
      </c>
      <c r="C69">
        <v>14.674918303542567</v>
      </c>
      <c r="E69">
        <v>507869</v>
      </c>
      <c r="F69" t="s">
        <v>19</v>
      </c>
      <c r="G69">
        <v>14.672597699738885</v>
      </c>
      <c r="I69">
        <f t="shared" si="4"/>
        <v>594</v>
      </c>
      <c r="J69">
        <f t="shared" si="5"/>
        <v>-2.32060380368182E-3</v>
      </c>
      <c r="L69">
        <v>508697</v>
      </c>
      <c r="M69" t="s">
        <v>30</v>
      </c>
      <c r="N69">
        <v>42.757125082865677</v>
      </c>
      <c r="O69">
        <f t="shared" si="6"/>
        <v>1422</v>
      </c>
      <c r="P69">
        <f t="shared" si="7"/>
        <v>28.082206779323108</v>
      </c>
      <c r="R69">
        <v>508081</v>
      </c>
      <c r="S69" t="s">
        <v>21</v>
      </c>
      <c r="T69">
        <v>1263.75</v>
      </c>
    </row>
    <row r="70" spans="1:20" x14ac:dyDescent="0.2">
      <c r="A70">
        <v>514288</v>
      </c>
      <c r="B70" t="s">
        <v>13</v>
      </c>
      <c r="C70">
        <v>14.674918303542567</v>
      </c>
      <c r="E70">
        <v>514882</v>
      </c>
      <c r="F70" t="s">
        <v>19</v>
      </c>
      <c r="G70">
        <v>14.672597699738885</v>
      </c>
      <c r="I70">
        <f t="shared" si="4"/>
        <v>594</v>
      </c>
      <c r="J70">
        <f t="shared" si="5"/>
        <v>-2.32060380368182E-3</v>
      </c>
      <c r="L70">
        <v>515740</v>
      </c>
      <c r="M70" t="s">
        <v>30</v>
      </c>
      <c r="N70">
        <v>46.470091168759033</v>
      </c>
      <c r="O70">
        <f t="shared" si="6"/>
        <v>1452</v>
      </c>
      <c r="P70">
        <f t="shared" si="7"/>
        <v>31.795172865216465</v>
      </c>
      <c r="R70">
        <v>515114</v>
      </c>
      <c r="S70" t="s">
        <v>21</v>
      </c>
      <c r="T70">
        <v>1303.75</v>
      </c>
    </row>
    <row r="71" spans="1:20" x14ac:dyDescent="0.2">
      <c r="A71">
        <v>521293</v>
      </c>
      <c r="B71" t="s">
        <v>13</v>
      </c>
      <c r="C71">
        <v>14.674918303542567</v>
      </c>
      <c r="E71">
        <v>521877</v>
      </c>
      <c r="F71" t="s">
        <v>19</v>
      </c>
      <c r="G71">
        <v>14.493621131379806</v>
      </c>
      <c r="I71">
        <f t="shared" si="4"/>
        <v>584</v>
      </c>
      <c r="J71">
        <f t="shared" si="5"/>
        <v>-0.1812971721627612</v>
      </c>
      <c r="L71">
        <v>522705</v>
      </c>
      <c r="M71" t="s">
        <v>30</v>
      </c>
      <c r="N71">
        <v>49.037259126583734</v>
      </c>
      <c r="O71">
        <f t="shared" si="6"/>
        <v>1412</v>
      </c>
      <c r="P71">
        <f t="shared" si="7"/>
        <v>34.362340823041166</v>
      </c>
      <c r="R71">
        <v>522089</v>
      </c>
      <c r="S71" t="s">
        <v>21</v>
      </c>
      <c r="T71">
        <v>1624.25</v>
      </c>
    </row>
    <row r="72" spans="1:20" x14ac:dyDescent="0.2">
      <c r="A72">
        <v>528256</v>
      </c>
      <c r="B72" t="s">
        <v>13</v>
      </c>
      <c r="C72">
        <v>14.674918303542567</v>
      </c>
      <c r="E72">
        <v>528850</v>
      </c>
      <c r="F72" t="s">
        <v>19</v>
      </c>
      <c r="G72">
        <v>14.618208548090056</v>
      </c>
      <c r="I72">
        <f t="shared" si="4"/>
        <v>594</v>
      </c>
      <c r="J72">
        <f t="shared" si="5"/>
        <v>-5.670975545251089E-2</v>
      </c>
      <c r="L72">
        <v>529669</v>
      </c>
      <c r="M72" t="s">
        <v>30</v>
      </c>
      <c r="N72">
        <v>40.015911839764719</v>
      </c>
      <c r="O72">
        <f t="shared" si="6"/>
        <v>1413</v>
      </c>
      <c r="P72">
        <f t="shared" si="7"/>
        <v>25.34099353622215</v>
      </c>
      <c r="R72">
        <v>529063</v>
      </c>
      <c r="S72" t="s">
        <v>21</v>
      </c>
      <c r="T72">
        <v>828.25</v>
      </c>
    </row>
    <row r="73" spans="1:20" x14ac:dyDescent="0.2">
      <c r="A73">
        <v>535301</v>
      </c>
      <c r="B73" t="s">
        <v>13</v>
      </c>
      <c r="C73">
        <v>14.674918303542567</v>
      </c>
      <c r="E73">
        <v>535885</v>
      </c>
      <c r="F73" t="s">
        <v>19</v>
      </c>
      <c r="G73">
        <v>14.585284981625298</v>
      </c>
      <c r="I73">
        <f t="shared" si="4"/>
        <v>584</v>
      </c>
      <c r="J73">
        <f t="shared" si="5"/>
        <v>-8.9633321917268916E-2</v>
      </c>
      <c r="L73">
        <v>536755</v>
      </c>
      <c r="M73" t="s">
        <v>30</v>
      </c>
      <c r="N73">
        <v>39.305226924886696</v>
      </c>
      <c r="O73">
        <f t="shared" si="6"/>
        <v>1454</v>
      </c>
      <c r="P73">
        <f t="shared" si="7"/>
        <v>24.630308621344128</v>
      </c>
      <c r="R73">
        <v>536099</v>
      </c>
      <c r="S73" t="s">
        <v>21</v>
      </c>
      <c r="T73">
        <v>663.75</v>
      </c>
    </row>
    <row r="74" spans="1:20" x14ac:dyDescent="0.2">
      <c r="A74">
        <v>542365</v>
      </c>
      <c r="B74" t="s">
        <v>13</v>
      </c>
      <c r="C74">
        <v>14.674918303542567</v>
      </c>
      <c r="E74">
        <v>542949</v>
      </c>
      <c r="F74" t="s">
        <v>19</v>
      </c>
      <c r="G74">
        <v>14.584269717461186</v>
      </c>
      <c r="I74">
        <f t="shared" si="4"/>
        <v>584</v>
      </c>
      <c r="J74">
        <f t="shared" si="5"/>
        <v>-9.06485860813806E-2</v>
      </c>
      <c r="L74">
        <v>547376</v>
      </c>
      <c r="M74" t="s">
        <v>30</v>
      </c>
      <c r="N74" t="s">
        <v>26</v>
      </c>
      <c r="O74">
        <f t="shared" si="6"/>
        <v>5011</v>
      </c>
      <c r="P74" t="e">
        <f t="shared" si="7"/>
        <v>#VALUE!</v>
      </c>
      <c r="R74">
        <v>543161</v>
      </c>
      <c r="S74" t="s">
        <v>21</v>
      </c>
      <c r="T74">
        <v>682.75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B04B-95A0-F648-B37C-AE5999851425}">
  <dimension ref="A1:I73"/>
  <sheetViews>
    <sheetView workbookViewId="0">
      <selection activeCell="I2" sqref="I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</v>
      </c>
      <c r="I1" t="s">
        <v>85</v>
      </c>
    </row>
    <row r="2" spans="1:9" x14ac:dyDescent="0.2">
      <c r="A2">
        <v>42092</v>
      </c>
      <c r="B2" t="s">
        <v>42</v>
      </c>
      <c r="C2" t="s">
        <v>8</v>
      </c>
      <c r="D2" t="s">
        <v>43</v>
      </c>
      <c r="E2">
        <v>9398</v>
      </c>
      <c r="F2">
        <v>4.7</v>
      </c>
      <c r="G2" t="s">
        <v>44</v>
      </c>
      <c r="H2" t="s">
        <v>82</v>
      </c>
      <c r="I2">
        <v>681.67736733198331</v>
      </c>
    </row>
    <row r="3" spans="1:9" x14ac:dyDescent="0.2">
      <c r="A3">
        <v>49125</v>
      </c>
      <c r="B3" t="s">
        <v>42</v>
      </c>
      <c r="C3" t="s">
        <v>8</v>
      </c>
      <c r="D3" t="s">
        <v>43</v>
      </c>
      <c r="E3">
        <v>9036</v>
      </c>
      <c r="F3">
        <v>4.5199999999999996</v>
      </c>
      <c r="G3" t="s">
        <v>44</v>
      </c>
      <c r="H3" t="s">
        <v>82</v>
      </c>
      <c r="I3">
        <v>655.57057454054564</v>
      </c>
    </row>
    <row r="4" spans="1:9" x14ac:dyDescent="0.2">
      <c r="A4">
        <v>56187</v>
      </c>
      <c r="B4" t="s">
        <v>42</v>
      </c>
      <c r="C4" t="s">
        <v>8</v>
      </c>
      <c r="D4" t="s">
        <v>43</v>
      </c>
      <c r="E4">
        <v>11199</v>
      </c>
      <c r="F4">
        <v>5.6</v>
      </c>
      <c r="G4" t="s">
        <v>44</v>
      </c>
      <c r="H4" t="s">
        <v>82</v>
      </c>
      <c r="I4">
        <v>812.21133128917154</v>
      </c>
    </row>
    <row r="5" spans="1:9" x14ac:dyDescent="0.2">
      <c r="A5">
        <v>63188</v>
      </c>
      <c r="B5" t="s">
        <v>42</v>
      </c>
      <c r="C5" t="s">
        <v>8</v>
      </c>
      <c r="D5" t="s">
        <v>43</v>
      </c>
      <c r="E5">
        <v>9566</v>
      </c>
      <c r="F5">
        <v>4.78</v>
      </c>
      <c r="G5" t="s">
        <v>44</v>
      </c>
      <c r="H5" t="s">
        <v>82</v>
      </c>
      <c r="I5">
        <v>693.28038635040002</v>
      </c>
    </row>
    <row r="6" spans="1:9" x14ac:dyDescent="0.2">
      <c r="A6">
        <v>70263</v>
      </c>
      <c r="B6" t="s">
        <v>42</v>
      </c>
      <c r="C6" t="s">
        <v>8</v>
      </c>
      <c r="D6" t="s">
        <v>43</v>
      </c>
      <c r="E6">
        <v>10520</v>
      </c>
      <c r="F6">
        <v>5.26</v>
      </c>
      <c r="G6" t="s">
        <v>44</v>
      </c>
      <c r="H6" t="s">
        <v>82</v>
      </c>
      <c r="I6">
        <v>762.89850046090044</v>
      </c>
    </row>
    <row r="7" spans="1:9" x14ac:dyDescent="0.2">
      <c r="A7">
        <v>77347</v>
      </c>
      <c r="B7" t="s">
        <v>42</v>
      </c>
      <c r="C7" t="s">
        <v>8</v>
      </c>
      <c r="D7" t="s">
        <v>43</v>
      </c>
      <c r="E7">
        <v>11523</v>
      </c>
      <c r="F7">
        <v>5.76</v>
      </c>
      <c r="G7" t="s">
        <v>44</v>
      </c>
      <c r="H7" t="s">
        <v>82</v>
      </c>
      <c r="I7">
        <v>835.41736932600509</v>
      </c>
    </row>
    <row r="8" spans="1:9" x14ac:dyDescent="0.2">
      <c r="A8">
        <v>84389</v>
      </c>
      <c r="B8" t="s">
        <v>42</v>
      </c>
      <c r="C8" t="s">
        <v>8</v>
      </c>
      <c r="D8" t="s">
        <v>43</v>
      </c>
      <c r="E8">
        <v>10188</v>
      </c>
      <c r="F8">
        <v>5.09</v>
      </c>
      <c r="G8" t="s">
        <v>44</v>
      </c>
      <c r="H8" t="s">
        <v>82</v>
      </c>
      <c r="I8">
        <v>738.24208504676483</v>
      </c>
    </row>
    <row r="9" spans="1:9" x14ac:dyDescent="0.2">
      <c r="A9">
        <v>91333</v>
      </c>
      <c r="B9" t="s">
        <v>42</v>
      </c>
      <c r="C9" t="s">
        <v>8</v>
      </c>
      <c r="D9" t="s">
        <v>43</v>
      </c>
      <c r="E9">
        <v>9898</v>
      </c>
      <c r="F9">
        <v>4.95</v>
      </c>
      <c r="G9" t="s">
        <v>44</v>
      </c>
      <c r="H9" t="s">
        <v>82</v>
      </c>
      <c r="I9">
        <v>717.93680176453563</v>
      </c>
    </row>
    <row r="10" spans="1:9" x14ac:dyDescent="0.2">
      <c r="A10">
        <v>98296</v>
      </c>
      <c r="B10" t="s">
        <v>42</v>
      </c>
      <c r="C10" t="s">
        <v>8</v>
      </c>
      <c r="D10" t="s">
        <v>43</v>
      </c>
      <c r="E10">
        <v>11550</v>
      </c>
      <c r="F10">
        <v>5.78</v>
      </c>
      <c r="G10" t="s">
        <v>44</v>
      </c>
      <c r="H10" t="s">
        <v>82</v>
      </c>
      <c r="I10">
        <v>838.31812408060921</v>
      </c>
    </row>
    <row r="11" spans="1:9" x14ac:dyDescent="0.2">
      <c r="A11">
        <v>105241</v>
      </c>
      <c r="B11" t="s">
        <v>42</v>
      </c>
      <c r="C11" t="s">
        <v>8</v>
      </c>
      <c r="D11" t="s">
        <v>43</v>
      </c>
      <c r="E11">
        <v>12091</v>
      </c>
      <c r="F11">
        <v>6.05</v>
      </c>
      <c r="G11" t="s">
        <v>44</v>
      </c>
      <c r="H11" t="s">
        <v>82</v>
      </c>
      <c r="I11">
        <v>877.47831326776566</v>
      </c>
    </row>
    <row r="12" spans="1:9" x14ac:dyDescent="0.2">
      <c r="A12">
        <v>112325</v>
      </c>
      <c r="B12" t="s">
        <v>42</v>
      </c>
      <c r="C12" t="s">
        <v>8</v>
      </c>
      <c r="D12" t="s">
        <v>43</v>
      </c>
      <c r="E12">
        <v>10462</v>
      </c>
      <c r="F12">
        <v>5.23</v>
      </c>
      <c r="G12" t="s">
        <v>44</v>
      </c>
      <c r="H12" t="s">
        <v>82</v>
      </c>
      <c r="I12">
        <v>758.54736832899414</v>
      </c>
    </row>
    <row r="13" spans="1:9" x14ac:dyDescent="0.2">
      <c r="A13">
        <v>119390</v>
      </c>
      <c r="B13" t="s">
        <v>42</v>
      </c>
      <c r="C13" t="s">
        <v>8</v>
      </c>
      <c r="D13" t="s">
        <v>43</v>
      </c>
      <c r="E13">
        <v>10966</v>
      </c>
      <c r="F13">
        <v>5.48</v>
      </c>
      <c r="G13" t="s">
        <v>44</v>
      </c>
      <c r="H13" t="s">
        <v>82</v>
      </c>
      <c r="I13">
        <v>794.80680276154646</v>
      </c>
    </row>
    <row r="14" spans="1:9" x14ac:dyDescent="0.2">
      <c r="A14">
        <v>126542</v>
      </c>
      <c r="B14" t="s">
        <v>42</v>
      </c>
      <c r="C14" t="s">
        <v>8</v>
      </c>
      <c r="D14" t="s">
        <v>43</v>
      </c>
      <c r="E14">
        <v>10405</v>
      </c>
      <c r="F14">
        <v>5.2</v>
      </c>
      <c r="G14" t="s">
        <v>44</v>
      </c>
      <c r="H14" t="s">
        <v>82</v>
      </c>
      <c r="I14">
        <v>754.19623619708784</v>
      </c>
    </row>
    <row r="15" spans="1:9" x14ac:dyDescent="0.2">
      <c r="A15">
        <v>133466</v>
      </c>
      <c r="B15" t="s">
        <v>42</v>
      </c>
      <c r="C15" t="s">
        <v>8</v>
      </c>
      <c r="D15" t="s">
        <v>43</v>
      </c>
      <c r="E15">
        <v>14315</v>
      </c>
      <c r="F15">
        <v>7.16</v>
      </c>
      <c r="G15" t="s">
        <v>44</v>
      </c>
      <c r="H15" t="s">
        <v>82</v>
      </c>
      <c r="I15">
        <v>1038.4702021482979</v>
      </c>
    </row>
    <row r="16" spans="1:9" x14ac:dyDescent="0.2">
      <c r="A16">
        <v>140686</v>
      </c>
      <c r="B16" t="s">
        <v>42</v>
      </c>
      <c r="C16" t="s">
        <v>8</v>
      </c>
      <c r="D16" t="s">
        <v>43</v>
      </c>
      <c r="E16">
        <v>9565</v>
      </c>
      <c r="F16">
        <v>4.78</v>
      </c>
      <c r="G16" t="s">
        <v>44</v>
      </c>
      <c r="H16" t="s">
        <v>82</v>
      </c>
      <c r="I16">
        <v>693.28038635040002</v>
      </c>
    </row>
    <row r="17" spans="1:9" x14ac:dyDescent="0.2">
      <c r="A17">
        <v>147712</v>
      </c>
      <c r="B17" t="s">
        <v>42</v>
      </c>
      <c r="C17" t="s">
        <v>8</v>
      </c>
      <c r="D17" t="s">
        <v>43</v>
      </c>
      <c r="E17">
        <v>11004</v>
      </c>
      <c r="F17">
        <v>5.5</v>
      </c>
      <c r="G17" t="s">
        <v>44</v>
      </c>
      <c r="H17" t="s">
        <v>82</v>
      </c>
      <c r="I17">
        <v>797.70755751615059</v>
      </c>
    </row>
    <row r="18" spans="1:9" x14ac:dyDescent="0.2">
      <c r="A18">
        <v>154685</v>
      </c>
      <c r="B18" t="s">
        <v>42</v>
      </c>
      <c r="C18" t="s">
        <v>8</v>
      </c>
      <c r="D18" t="s">
        <v>43</v>
      </c>
      <c r="E18">
        <v>9410</v>
      </c>
      <c r="F18">
        <v>4.7</v>
      </c>
      <c r="G18" t="s">
        <v>44</v>
      </c>
      <c r="H18" t="s">
        <v>82</v>
      </c>
      <c r="I18">
        <v>681.67736733198331</v>
      </c>
    </row>
    <row r="19" spans="1:9" x14ac:dyDescent="0.2">
      <c r="A19">
        <v>161657</v>
      </c>
      <c r="B19" t="s">
        <v>42</v>
      </c>
      <c r="C19" t="s">
        <v>8</v>
      </c>
      <c r="D19" t="s">
        <v>43</v>
      </c>
      <c r="E19">
        <v>3738</v>
      </c>
      <c r="F19">
        <v>1.87</v>
      </c>
      <c r="G19" t="s">
        <v>44</v>
      </c>
      <c r="H19" t="s">
        <v>82</v>
      </c>
      <c r="I19">
        <v>271.22056955549124</v>
      </c>
    </row>
    <row r="20" spans="1:9" x14ac:dyDescent="0.2">
      <c r="A20">
        <v>168611</v>
      </c>
      <c r="B20" t="s">
        <v>42</v>
      </c>
      <c r="C20" t="s">
        <v>8</v>
      </c>
      <c r="D20" t="s">
        <v>43</v>
      </c>
      <c r="E20">
        <v>10386</v>
      </c>
      <c r="F20">
        <v>5.19</v>
      </c>
      <c r="G20" t="s">
        <v>44</v>
      </c>
      <c r="H20" t="s">
        <v>82</v>
      </c>
      <c r="I20">
        <v>752.74585881978578</v>
      </c>
    </row>
    <row r="21" spans="1:9" x14ac:dyDescent="0.2">
      <c r="A21">
        <v>175613</v>
      </c>
      <c r="B21" t="s">
        <v>42</v>
      </c>
      <c r="C21" t="s">
        <v>8</v>
      </c>
      <c r="D21" t="s">
        <v>43</v>
      </c>
      <c r="E21">
        <v>11771</v>
      </c>
      <c r="F21">
        <v>5.89</v>
      </c>
      <c r="G21" t="s">
        <v>44</v>
      </c>
      <c r="H21" t="s">
        <v>82</v>
      </c>
      <c r="I21">
        <v>854.27227523093222</v>
      </c>
    </row>
    <row r="22" spans="1:9" x14ac:dyDescent="0.2">
      <c r="A22">
        <v>182607</v>
      </c>
      <c r="B22" t="s">
        <v>42</v>
      </c>
      <c r="C22" t="s">
        <v>8</v>
      </c>
      <c r="D22" t="s">
        <v>43</v>
      </c>
      <c r="E22">
        <v>11241</v>
      </c>
      <c r="F22">
        <v>5.62</v>
      </c>
      <c r="G22" t="s">
        <v>44</v>
      </c>
      <c r="H22" t="s">
        <v>82</v>
      </c>
      <c r="I22">
        <v>815.11208604377578</v>
      </c>
    </row>
    <row r="23" spans="1:9" x14ac:dyDescent="0.2">
      <c r="A23">
        <v>189512</v>
      </c>
      <c r="B23" t="s">
        <v>42</v>
      </c>
      <c r="C23" t="s">
        <v>8</v>
      </c>
      <c r="D23" t="s">
        <v>43</v>
      </c>
      <c r="E23">
        <v>6598</v>
      </c>
      <c r="F23">
        <v>3.3</v>
      </c>
      <c r="G23" t="s">
        <v>44</v>
      </c>
      <c r="H23" t="s">
        <v>82</v>
      </c>
      <c r="I23">
        <v>478.62453450969036</v>
      </c>
    </row>
    <row r="24" spans="1:9" x14ac:dyDescent="0.2">
      <c r="A24">
        <v>196465</v>
      </c>
      <c r="B24" t="s">
        <v>42</v>
      </c>
      <c r="C24" t="s">
        <v>8</v>
      </c>
      <c r="D24" t="s">
        <v>43</v>
      </c>
      <c r="E24">
        <v>10599</v>
      </c>
      <c r="F24">
        <v>5.3</v>
      </c>
      <c r="G24" t="s">
        <v>44</v>
      </c>
      <c r="H24" t="s">
        <v>82</v>
      </c>
      <c r="I24">
        <v>768.70000997010879</v>
      </c>
    </row>
    <row r="25" spans="1:9" x14ac:dyDescent="0.2">
      <c r="A25">
        <v>203419</v>
      </c>
      <c r="B25" t="s">
        <v>42</v>
      </c>
      <c r="C25" t="s">
        <v>8</v>
      </c>
      <c r="D25" t="s">
        <v>43</v>
      </c>
      <c r="E25">
        <v>11116</v>
      </c>
      <c r="F25">
        <v>5.56</v>
      </c>
      <c r="G25" t="s">
        <v>44</v>
      </c>
      <c r="H25" t="s">
        <v>82</v>
      </c>
      <c r="I25">
        <v>806.40982177996318</v>
      </c>
    </row>
    <row r="26" spans="1:9" x14ac:dyDescent="0.2">
      <c r="A26">
        <v>210361</v>
      </c>
      <c r="B26" t="s">
        <v>42</v>
      </c>
      <c r="C26" t="s">
        <v>8</v>
      </c>
      <c r="D26" t="s">
        <v>43</v>
      </c>
      <c r="E26">
        <v>10699</v>
      </c>
      <c r="F26">
        <v>5.35</v>
      </c>
      <c r="G26" t="s">
        <v>44</v>
      </c>
      <c r="H26" t="s">
        <v>82</v>
      </c>
      <c r="I26">
        <v>775.95189685661921</v>
      </c>
    </row>
    <row r="27" spans="1:9" x14ac:dyDescent="0.2">
      <c r="A27">
        <v>217294</v>
      </c>
      <c r="B27" t="s">
        <v>42</v>
      </c>
      <c r="C27" t="s">
        <v>8</v>
      </c>
      <c r="D27" t="s">
        <v>43</v>
      </c>
      <c r="E27">
        <v>9835</v>
      </c>
      <c r="F27">
        <v>4.92</v>
      </c>
      <c r="G27" t="s">
        <v>44</v>
      </c>
      <c r="H27" t="s">
        <v>82</v>
      </c>
      <c r="I27">
        <v>713.58566963262933</v>
      </c>
    </row>
    <row r="28" spans="1:9" x14ac:dyDescent="0.2">
      <c r="A28">
        <v>224247</v>
      </c>
      <c r="B28" t="s">
        <v>42</v>
      </c>
      <c r="C28" t="s">
        <v>8</v>
      </c>
      <c r="D28" t="s">
        <v>43</v>
      </c>
      <c r="E28">
        <v>9994</v>
      </c>
      <c r="F28">
        <v>5</v>
      </c>
      <c r="G28" t="s">
        <v>44</v>
      </c>
      <c r="H28" t="s">
        <v>82</v>
      </c>
      <c r="I28">
        <v>725.18868865104605</v>
      </c>
    </row>
    <row r="29" spans="1:9" x14ac:dyDescent="0.2">
      <c r="A29">
        <v>231172</v>
      </c>
      <c r="B29" t="s">
        <v>42</v>
      </c>
      <c r="C29" t="s">
        <v>8</v>
      </c>
      <c r="D29" t="s">
        <v>43</v>
      </c>
      <c r="E29">
        <v>10482</v>
      </c>
      <c r="F29">
        <v>5.24</v>
      </c>
      <c r="G29" t="s">
        <v>44</v>
      </c>
      <c r="H29" t="s">
        <v>82</v>
      </c>
      <c r="I29">
        <v>759.9977457062962</v>
      </c>
    </row>
    <row r="30" spans="1:9" x14ac:dyDescent="0.2">
      <c r="A30">
        <v>238135</v>
      </c>
      <c r="B30" t="s">
        <v>42</v>
      </c>
      <c r="C30" t="s">
        <v>8</v>
      </c>
      <c r="D30" t="s">
        <v>43</v>
      </c>
      <c r="E30">
        <v>10600</v>
      </c>
      <c r="F30">
        <v>5.3</v>
      </c>
      <c r="G30" t="s">
        <v>44</v>
      </c>
      <c r="H30" t="s">
        <v>82</v>
      </c>
      <c r="I30">
        <v>768.70000997010879</v>
      </c>
    </row>
    <row r="31" spans="1:9" x14ac:dyDescent="0.2">
      <c r="A31">
        <v>245098</v>
      </c>
      <c r="B31" t="s">
        <v>42</v>
      </c>
      <c r="C31" t="s">
        <v>8</v>
      </c>
      <c r="D31" t="s">
        <v>43</v>
      </c>
      <c r="E31">
        <v>10044</v>
      </c>
      <c r="F31">
        <v>5.0199999999999996</v>
      </c>
      <c r="G31" t="s">
        <v>44</v>
      </c>
      <c r="H31" t="s">
        <v>82</v>
      </c>
      <c r="I31">
        <v>728.08944340565017</v>
      </c>
    </row>
    <row r="32" spans="1:9" x14ac:dyDescent="0.2">
      <c r="A32">
        <v>252094</v>
      </c>
      <c r="B32" t="s">
        <v>42</v>
      </c>
      <c r="C32" t="s">
        <v>8</v>
      </c>
      <c r="D32" t="s">
        <v>43</v>
      </c>
      <c r="E32">
        <v>9914</v>
      </c>
      <c r="F32">
        <v>4.96</v>
      </c>
      <c r="G32" t="s">
        <v>44</v>
      </c>
      <c r="H32" t="s">
        <v>82</v>
      </c>
      <c r="I32">
        <v>719.38717914183769</v>
      </c>
    </row>
    <row r="33" spans="1:9" x14ac:dyDescent="0.2">
      <c r="A33">
        <v>259027</v>
      </c>
      <c r="B33" t="s">
        <v>42</v>
      </c>
      <c r="C33" t="s">
        <v>8</v>
      </c>
      <c r="D33" t="s">
        <v>43</v>
      </c>
      <c r="E33">
        <v>18867</v>
      </c>
      <c r="F33">
        <v>9.43</v>
      </c>
      <c r="G33" t="s">
        <v>44</v>
      </c>
      <c r="H33" t="s">
        <v>82</v>
      </c>
      <c r="I33">
        <v>1367.7058667958729</v>
      </c>
    </row>
    <row r="34" spans="1:9" x14ac:dyDescent="0.2">
      <c r="A34">
        <v>266067</v>
      </c>
      <c r="B34" t="s">
        <v>42</v>
      </c>
      <c r="C34" t="s">
        <v>8</v>
      </c>
      <c r="D34" t="s">
        <v>43</v>
      </c>
      <c r="E34">
        <v>10532</v>
      </c>
      <c r="F34">
        <v>5.27</v>
      </c>
      <c r="G34" t="s">
        <v>44</v>
      </c>
      <c r="H34" t="s">
        <v>82</v>
      </c>
      <c r="I34">
        <v>764.3488778382025</v>
      </c>
    </row>
    <row r="35" spans="1:9" x14ac:dyDescent="0.2">
      <c r="A35">
        <v>273128</v>
      </c>
      <c r="B35" t="s">
        <v>42</v>
      </c>
      <c r="C35" t="s">
        <v>8</v>
      </c>
      <c r="D35" t="s">
        <v>43</v>
      </c>
      <c r="E35">
        <v>13919</v>
      </c>
      <c r="F35">
        <v>6.96</v>
      </c>
      <c r="G35" t="s">
        <v>44</v>
      </c>
      <c r="H35" t="s">
        <v>82</v>
      </c>
      <c r="I35">
        <v>1009.4626546022561</v>
      </c>
    </row>
    <row r="36" spans="1:9" x14ac:dyDescent="0.2">
      <c r="A36">
        <v>280061</v>
      </c>
      <c r="B36" t="s">
        <v>42</v>
      </c>
      <c r="C36" t="s">
        <v>8</v>
      </c>
      <c r="D36" t="s">
        <v>43</v>
      </c>
      <c r="E36">
        <v>10570</v>
      </c>
      <c r="F36">
        <v>5.28</v>
      </c>
      <c r="G36" t="s">
        <v>44</v>
      </c>
      <c r="H36" t="s">
        <v>82</v>
      </c>
      <c r="I36">
        <v>765.79925521550467</v>
      </c>
    </row>
    <row r="37" spans="1:9" x14ac:dyDescent="0.2">
      <c r="A37">
        <v>287007</v>
      </c>
      <c r="B37" t="s">
        <v>42</v>
      </c>
      <c r="C37" t="s">
        <v>8</v>
      </c>
      <c r="D37" t="s">
        <v>43</v>
      </c>
      <c r="E37">
        <v>10082</v>
      </c>
      <c r="F37">
        <v>5.04</v>
      </c>
      <c r="G37" t="s">
        <v>44</v>
      </c>
      <c r="H37" t="s">
        <v>82</v>
      </c>
      <c r="I37">
        <v>730.99019816025441</v>
      </c>
    </row>
    <row r="38" spans="1:9" x14ac:dyDescent="0.2">
      <c r="A38">
        <v>293949</v>
      </c>
      <c r="B38" t="s">
        <v>42</v>
      </c>
      <c r="C38" t="s">
        <v>8</v>
      </c>
      <c r="D38" t="s">
        <v>43</v>
      </c>
      <c r="E38">
        <v>14148</v>
      </c>
      <c r="F38">
        <v>7.07</v>
      </c>
      <c r="G38" t="s">
        <v>44</v>
      </c>
      <c r="H38" t="s">
        <v>82</v>
      </c>
      <c r="I38">
        <v>1025.4168057525792</v>
      </c>
    </row>
    <row r="39" spans="1:9" x14ac:dyDescent="0.2">
      <c r="A39">
        <v>300943</v>
      </c>
      <c r="B39" t="s">
        <v>42</v>
      </c>
      <c r="C39" t="s">
        <v>8</v>
      </c>
      <c r="D39" t="s">
        <v>43</v>
      </c>
      <c r="E39">
        <v>13038</v>
      </c>
      <c r="F39">
        <v>6.52</v>
      </c>
      <c r="G39" t="s">
        <v>44</v>
      </c>
      <c r="H39" t="s">
        <v>82</v>
      </c>
      <c r="I39">
        <v>945.64605000096401</v>
      </c>
    </row>
    <row r="40" spans="1:9" x14ac:dyDescent="0.2">
      <c r="A40">
        <v>307946</v>
      </c>
      <c r="B40" t="s">
        <v>42</v>
      </c>
      <c r="C40" t="s">
        <v>8</v>
      </c>
      <c r="D40" t="s">
        <v>43</v>
      </c>
      <c r="E40">
        <v>10555</v>
      </c>
      <c r="F40">
        <v>5.28</v>
      </c>
      <c r="G40" t="s">
        <v>44</v>
      </c>
      <c r="H40" t="s">
        <v>82</v>
      </c>
      <c r="I40">
        <v>765.79925521550467</v>
      </c>
    </row>
    <row r="41" spans="1:9" x14ac:dyDescent="0.2">
      <c r="A41">
        <v>314949</v>
      </c>
      <c r="B41" t="s">
        <v>42</v>
      </c>
      <c r="C41" t="s">
        <v>8</v>
      </c>
      <c r="D41" t="s">
        <v>43</v>
      </c>
      <c r="E41">
        <v>10235</v>
      </c>
      <c r="F41">
        <v>5.12</v>
      </c>
      <c r="G41" t="s">
        <v>44</v>
      </c>
      <c r="H41" t="s">
        <v>82</v>
      </c>
      <c r="I41">
        <v>742.59321717867113</v>
      </c>
    </row>
    <row r="42" spans="1:9" x14ac:dyDescent="0.2">
      <c r="A42">
        <v>321910</v>
      </c>
      <c r="B42" t="s">
        <v>42</v>
      </c>
      <c r="C42" t="s">
        <v>8</v>
      </c>
      <c r="D42" t="s">
        <v>43</v>
      </c>
      <c r="E42">
        <v>22136</v>
      </c>
      <c r="F42">
        <v>11.07</v>
      </c>
      <c r="G42" t="s">
        <v>44</v>
      </c>
      <c r="H42" t="s">
        <v>82</v>
      </c>
      <c r="I42">
        <v>1605.5677566734159</v>
      </c>
    </row>
    <row r="43" spans="1:9" x14ac:dyDescent="0.2">
      <c r="A43">
        <v>328873</v>
      </c>
      <c r="B43" t="s">
        <v>42</v>
      </c>
      <c r="C43" t="s">
        <v>8</v>
      </c>
      <c r="D43" t="s">
        <v>43</v>
      </c>
      <c r="E43">
        <v>5291</v>
      </c>
      <c r="F43">
        <v>2.65</v>
      </c>
      <c r="G43" t="s">
        <v>44</v>
      </c>
      <c r="H43" t="s">
        <v>82</v>
      </c>
      <c r="I43">
        <v>384.3500049850544</v>
      </c>
    </row>
    <row r="44" spans="1:9" x14ac:dyDescent="0.2">
      <c r="A44">
        <v>335846</v>
      </c>
      <c r="B44" t="s">
        <v>42</v>
      </c>
      <c r="C44" t="s">
        <v>8</v>
      </c>
      <c r="D44" t="s">
        <v>43</v>
      </c>
      <c r="E44">
        <v>11181</v>
      </c>
      <c r="F44">
        <v>5.59</v>
      </c>
      <c r="G44" t="s">
        <v>44</v>
      </c>
      <c r="H44" t="s">
        <v>82</v>
      </c>
      <c r="I44">
        <v>810.76095391186948</v>
      </c>
    </row>
    <row r="45" spans="1:9" x14ac:dyDescent="0.2">
      <c r="A45">
        <v>342967</v>
      </c>
      <c r="B45" t="s">
        <v>42</v>
      </c>
      <c r="C45" t="s">
        <v>8</v>
      </c>
      <c r="D45" t="s">
        <v>43</v>
      </c>
      <c r="E45">
        <v>23280</v>
      </c>
      <c r="F45">
        <v>11.64</v>
      </c>
      <c r="G45" t="s">
        <v>44</v>
      </c>
      <c r="H45" t="s">
        <v>82</v>
      </c>
      <c r="I45">
        <v>1688.2392671796351</v>
      </c>
    </row>
    <row r="46" spans="1:9" x14ac:dyDescent="0.2">
      <c r="A46">
        <v>349941</v>
      </c>
      <c r="B46" t="s">
        <v>42</v>
      </c>
      <c r="C46" t="s">
        <v>8</v>
      </c>
      <c r="D46" t="s">
        <v>43</v>
      </c>
      <c r="E46">
        <v>10399</v>
      </c>
      <c r="F46">
        <v>5.2</v>
      </c>
      <c r="G46" t="s">
        <v>44</v>
      </c>
      <c r="H46" t="s">
        <v>82</v>
      </c>
      <c r="I46">
        <v>754.19623619708784</v>
      </c>
    </row>
    <row r="47" spans="1:9" x14ac:dyDescent="0.2">
      <c r="A47">
        <v>356914</v>
      </c>
      <c r="B47" t="s">
        <v>42</v>
      </c>
      <c r="C47" t="s">
        <v>8</v>
      </c>
      <c r="D47" t="s">
        <v>43</v>
      </c>
      <c r="E47">
        <v>19740</v>
      </c>
      <c r="F47">
        <v>9.8699999999999992</v>
      </c>
      <c r="G47" t="s">
        <v>44</v>
      </c>
      <c r="H47" t="s">
        <v>82</v>
      </c>
      <c r="I47">
        <v>1431.522471397165</v>
      </c>
    </row>
    <row r="48" spans="1:9" x14ac:dyDescent="0.2">
      <c r="A48">
        <v>363886</v>
      </c>
      <c r="B48" t="s">
        <v>42</v>
      </c>
      <c r="C48" t="s">
        <v>8</v>
      </c>
      <c r="D48" t="s">
        <v>43</v>
      </c>
      <c r="E48">
        <v>12752</v>
      </c>
      <c r="F48">
        <v>6.38</v>
      </c>
      <c r="G48" t="s">
        <v>44</v>
      </c>
      <c r="H48" t="s">
        <v>82</v>
      </c>
      <c r="I48">
        <v>925.3407667187347</v>
      </c>
    </row>
    <row r="49" spans="1:9" x14ac:dyDescent="0.2">
      <c r="A49">
        <v>370868</v>
      </c>
      <c r="B49" t="s">
        <v>42</v>
      </c>
      <c r="C49" t="s">
        <v>8</v>
      </c>
      <c r="D49" t="s">
        <v>43</v>
      </c>
      <c r="E49">
        <v>17452</v>
      </c>
      <c r="F49">
        <v>8.73</v>
      </c>
      <c r="G49" t="s">
        <v>44</v>
      </c>
      <c r="H49" t="s">
        <v>82</v>
      </c>
      <c r="I49">
        <v>1266.1794503847264</v>
      </c>
    </row>
    <row r="50" spans="1:9" x14ac:dyDescent="0.2">
      <c r="A50">
        <v>377811</v>
      </c>
      <c r="B50" t="s">
        <v>42</v>
      </c>
      <c r="C50" t="s">
        <v>8</v>
      </c>
      <c r="D50" t="s">
        <v>43</v>
      </c>
      <c r="E50">
        <v>22006</v>
      </c>
      <c r="F50">
        <v>11</v>
      </c>
      <c r="G50" t="s">
        <v>44</v>
      </c>
      <c r="H50" t="s">
        <v>82</v>
      </c>
      <c r="I50">
        <v>1595.4151150323012</v>
      </c>
    </row>
    <row r="51" spans="1:9" x14ac:dyDescent="0.2">
      <c r="A51">
        <v>384754</v>
      </c>
      <c r="B51" t="s">
        <v>42</v>
      </c>
      <c r="C51" t="s">
        <v>8</v>
      </c>
      <c r="D51" t="s">
        <v>43</v>
      </c>
      <c r="E51">
        <v>7708</v>
      </c>
      <c r="F51">
        <v>3.85</v>
      </c>
      <c r="G51" t="s">
        <v>44</v>
      </c>
      <c r="H51" t="s">
        <v>82</v>
      </c>
      <c r="I51">
        <v>558.39529026130549</v>
      </c>
    </row>
    <row r="52" spans="1:9" x14ac:dyDescent="0.2">
      <c r="A52">
        <v>391706</v>
      </c>
      <c r="B52" t="s">
        <v>42</v>
      </c>
      <c r="C52" t="s">
        <v>8</v>
      </c>
      <c r="D52" t="s">
        <v>43</v>
      </c>
      <c r="E52">
        <v>17119</v>
      </c>
      <c r="F52">
        <v>8.56</v>
      </c>
      <c r="G52" t="s">
        <v>44</v>
      </c>
      <c r="H52" t="s">
        <v>82</v>
      </c>
      <c r="I52">
        <v>1241.5230349705907</v>
      </c>
    </row>
    <row r="53" spans="1:9" x14ac:dyDescent="0.2">
      <c r="A53">
        <v>398629</v>
      </c>
      <c r="B53" t="s">
        <v>42</v>
      </c>
      <c r="C53" t="s">
        <v>8</v>
      </c>
      <c r="D53" t="s">
        <v>43</v>
      </c>
      <c r="E53">
        <v>14056</v>
      </c>
      <c r="F53">
        <v>7.03</v>
      </c>
      <c r="G53" t="s">
        <v>44</v>
      </c>
      <c r="H53" t="s">
        <v>82</v>
      </c>
      <c r="I53">
        <v>1019.6152962433707</v>
      </c>
    </row>
    <row r="54" spans="1:9" x14ac:dyDescent="0.2">
      <c r="A54">
        <v>405552</v>
      </c>
      <c r="B54" t="s">
        <v>42</v>
      </c>
      <c r="C54" t="s">
        <v>8</v>
      </c>
      <c r="D54" t="s">
        <v>43</v>
      </c>
      <c r="E54">
        <v>10055</v>
      </c>
      <c r="F54">
        <v>5.03</v>
      </c>
      <c r="G54" t="s">
        <v>44</v>
      </c>
      <c r="H54" t="s">
        <v>82</v>
      </c>
      <c r="I54">
        <v>729.53982078295235</v>
      </c>
    </row>
    <row r="55" spans="1:9" x14ac:dyDescent="0.2">
      <c r="A55">
        <v>412486</v>
      </c>
      <c r="B55" t="s">
        <v>42</v>
      </c>
      <c r="C55" t="s">
        <v>8</v>
      </c>
      <c r="D55" t="s">
        <v>43</v>
      </c>
      <c r="E55">
        <v>17691</v>
      </c>
      <c r="F55">
        <v>8.85</v>
      </c>
      <c r="G55" t="s">
        <v>44</v>
      </c>
      <c r="H55" t="s">
        <v>82</v>
      </c>
      <c r="I55">
        <v>1283.5839789123515</v>
      </c>
    </row>
    <row r="56" spans="1:9" x14ac:dyDescent="0.2">
      <c r="A56">
        <v>419479</v>
      </c>
      <c r="B56" t="s">
        <v>42</v>
      </c>
      <c r="C56" t="s">
        <v>8</v>
      </c>
      <c r="D56" t="s">
        <v>43</v>
      </c>
      <c r="E56">
        <v>12122</v>
      </c>
      <c r="F56">
        <v>6.06</v>
      </c>
      <c r="G56" t="s">
        <v>44</v>
      </c>
      <c r="H56" t="s">
        <v>82</v>
      </c>
      <c r="I56">
        <v>878.92869064506783</v>
      </c>
    </row>
    <row r="57" spans="1:9" x14ac:dyDescent="0.2">
      <c r="A57">
        <v>426461</v>
      </c>
      <c r="B57" t="s">
        <v>42</v>
      </c>
      <c r="C57" t="s">
        <v>8</v>
      </c>
      <c r="D57" t="s">
        <v>43</v>
      </c>
      <c r="E57">
        <v>8818</v>
      </c>
      <c r="F57">
        <v>4.41</v>
      </c>
      <c r="G57" t="s">
        <v>44</v>
      </c>
      <c r="H57" t="s">
        <v>82</v>
      </c>
      <c r="I57">
        <v>639.61642339022262</v>
      </c>
    </row>
    <row r="58" spans="1:9" x14ac:dyDescent="0.2">
      <c r="A58">
        <v>433485</v>
      </c>
      <c r="B58" t="s">
        <v>42</v>
      </c>
      <c r="C58" t="s">
        <v>8</v>
      </c>
      <c r="D58" t="s">
        <v>43</v>
      </c>
      <c r="E58">
        <v>6541</v>
      </c>
      <c r="F58">
        <v>3.27</v>
      </c>
      <c r="G58" t="s">
        <v>44</v>
      </c>
      <c r="H58" t="s">
        <v>82</v>
      </c>
      <c r="I58">
        <v>474.27340237778412</v>
      </c>
    </row>
    <row r="59" spans="1:9" x14ac:dyDescent="0.2">
      <c r="A59">
        <v>440501</v>
      </c>
      <c r="B59" t="s">
        <v>42</v>
      </c>
      <c r="C59" t="s">
        <v>8</v>
      </c>
      <c r="D59" t="s">
        <v>43</v>
      </c>
      <c r="E59">
        <v>9955</v>
      </c>
      <c r="F59">
        <v>4.9800000000000004</v>
      </c>
      <c r="G59" t="s">
        <v>44</v>
      </c>
      <c r="H59" t="s">
        <v>82</v>
      </c>
      <c r="I59">
        <v>722.28793389644181</v>
      </c>
    </row>
    <row r="60" spans="1:9" x14ac:dyDescent="0.2">
      <c r="A60">
        <v>447453</v>
      </c>
      <c r="B60" t="s">
        <v>42</v>
      </c>
      <c r="C60" t="s">
        <v>8</v>
      </c>
      <c r="D60" t="s">
        <v>43</v>
      </c>
      <c r="E60">
        <v>12774</v>
      </c>
      <c r="F60">
        <v>6.39</v>
      </c>
      <c r="G60" t="s">
        <v>44</v>
      </c>
      <c r="H60" t="s">
        <v>82</v>
      </c>
      <c r="I60">
        <v>926.79114409603687</v>
      </c>
    </row>
    <row r="61" spans="1:9" x14ac:dyDescent="0.2">
      <c r="A61">
        <v>454446</v>
      </c>
      <c r="B61" t="s">
        <v>42</v>
      </c>
      <c r="C61" t="s">
        <v>8</v>
      </c>
      <c r="D61" t="s">
        <v>43</v>
      </c>
      <c r="E61">
        <v>10466</v>
      </c>
      <c r="F61">
        <v>5.23</v>
      </c>
      <c r="G61" t="s">
        <v>44</v>
      </c>
      <c r="H61" t="s">
        <v>82</v>
      </c>
      <c r="I61">
        <v>758.54736832899414</v>
      </c>
    </row>
    <row r="62" spans="1:9" x14ac:dyDescent="0.2">
      <c r="A62">
        <v>461505</v>
      </c>
      <c r="B62" t="s">
        <v>42</v>
      </c>
      <c r="C62" t="s">
        <v>8</v>
      </c>
      <c r="D62" t="s">
        <v>43</v>
      </c>
      <c r="E62">
        <v>10871</v>
      </c>
      <c r="F62">
        <v>5.44</v>
      </c>
      <c r="G62" t="s">
        <v>44</v>
      </c>
      <c r="H62" t="s">
        <v>82</v>
      </c>
      <c r="I62">
        <v>789.00529325233811</v>
      </c>
    </row>
    <row r="63" spans="1:9" x14ac:dyDescent="0.2">
      <c r="A63">
        <v>468529</v>
      </c>
      <c r="B63" t="s">
        <v>42</v>
      </c>
      <c r="C63" t="s">
        <v>8</v>
      </c>
      <c r="D63" t="s">
        <v>43</v>
      </c>
      <c r="E63">
        <v>12480</v>
      </c>
      <c r="F63">
        <v>6.24</v>
      </c>
      <c r="G63" t="s">
        <v>44</v>
      </c>
      <c r="H63" t="s">
        <v>82</v>
      </c>
      <c r="I63">
        <v>905.0354834365055</v>
      </c>
    </row>
    <row r="64" spans="1:9" x14ac:dyDescent="0.2">
      <c r="A64">
        <v>475700</v>
      </c>
      <c r="B64" t="s">
        <v>42</v>
      </c>
      <c r="C64" t="s">
        <v>8</v>
      </c>
      <c r="D64" t="s">
        <v>43</v>
      </c>
      <c r="E64">
        <v>10729</v>
      </c>
      <c r="F64">
        <v>5.36</v>
      </c>
      <c r="G64" t="s">
        <v>44</v>
      </c>
      <c r="H64" t="s">
        <v>82</v>
      </c>
      <c r="I64">
        <v>777.40227423392139</v>
      </c>
    </row>
    <row r="65" spans="1:9" x14ac:dyDescent="0.2">
      <c r="A65">
        <v>482726</v>
      </c>
      <c r="B65" t="s">
        <v>42</v>
      </c>
      <c r="C65" t="s">
        <v>8</v>
      </c>
      <c r="D65" t="s">
        <v>43</v>
      </c>
      <c r="E65">
        <v>10756</v>
      </c>
      <c r="F65">
        <v>5.38</v>
      </c>
      <c r="G65" t="s">
        <v>44</v>
      </c>
      <c r="H65" t="s">
        <v>82</v>
      </c>
      <c r="I65">
        <v>780.30302898852551</v>
      </c>
    </row>
    <row r="66" spans="1:9" x14ac:dyDescent="0.2">
      <c r="A66">
        <v>489657</v>
      </c>
      <c r="B66" t="s">
        <v>42</v>
      </c>
      <c r="C66" t="s">
        <v>8</v>
      </c>
      <c r="D66" t="s">
        <v>43</v>
      </c>
      <c r="E66">
        <v>11744</v>
      </c>
      <c r="F66">
        <v>5.87</v>
      </c>
      <c r="G66" t="s">
        <v>44</v>
      </c>
      <c r="H66" t="s">
        <v>82</v>
      </c>
      <c r="I66">
        <v>851.3715204763281</v>
      </c>
    </row>
    <row r="67" spans="1:9" x14ac:dyDescent="0.2">
      <c r="A67">
        <v>496580</v>
      </c>
      <c r="B67" t="s">
        <v>42</v>
      </c>
      <c r="C67" t="s">
        <v>8</v>
      </c>
      <c r="D67" t="s">
        <v>43</v>
      </c>
      <c r="E67">
        <v>15044</v>
      </c>
      <c r="F67">
        <v>7.52</v>
      </c>
      <c r="G67" t="s">
        <v>44</v>
      </c>
      <c r="H67" t="s">
        <v>82</v>
      </c>
      <c r="I67">
        <v>1090.6837877311732</v>
      </c>
    </row>
    <row r="68" spans="1:9" x14ac:dyDescent="0.2">
      <c r="A68">
        <v>503505</v>
      </c>
      <c r="B68" t="s">
        <v>42</v>
      </c>
      <c r="C68" t="s">
        <v>8</v>
      </c>
      <c r="D68" t="s">
        <v>43</v>
      </c>
      <c r="E68">
        <v>9539</v>
      </c>
      <c r="F68">
        <v>4.7699999999999996</v>
      </c>
      <c r="G68" t="s">
        <v>44</v>
      </c>
      <c r="H68" t="s">
        <v>82</v>
      </c>
      <c r="I68">
        <v>691.83000897309796</v>
      </c>
    </row>
    <row r="69" spans="1:9" x14ac:dyDescent="0.2">
      <c r="A69">
        <v>510490</v>
      </c>
      <c r="B69" t="s">
        <v>42</v>
      </c>
      <c r="C69" t="s">
        <v>8</v>
      </c>
      <c r="D69" t="s">
        <v>43</v>
      </c>
      <c r="E69">
        <v>10295</v>
      </c>
      <c r="F69">
        <v>5.15</v>
      </c>
      <c r="G69" t="s">
        <v>44</v>
      </c>
      <c r="H69" t="s">
        <v>82</v>
      </c>
      <c r="I69">
        <v>746.94434931057742</v>
      </c>
    </row>
    <row r="70" spans="1:9" x14ac:dyDescent="0.2">
      <c r="A70">
        <v>517512</v>
      </c>
      <c r="B70" t="s">
        <v>42</v>
      </c>
      <c r="C70" t="s">
        <v>8</v>
      </c>
      <c r="D70" t="s">
        <v>43</v>
      </c>
      <c r="E70">
        <v>9872</v>
      </c>
      <c r="F70">
        <v>4.9400000000000004</v>
      </c>
      <c r="G70" t="s">
        <v>44</v>
      </c>
      <c r="H70" t="s">
        <v>82</v>
      </c>
      <c r="I70">
        <v>716.48642438723346</v>
      </c>
    </row>
    <row r="71" spans="1:9" x14ac:dyDescent="0.2">
      <c r="A71">
        <v>524477</v>
      </c>
      <c r="B71" t="s">
        <v>42</v>
      </c>
      <c r="C71" t="s">
        <v>8</v>
      </c>
      <c r="D71" t="s">
        <v>43</v>
      </c>
      <c r="E71">
        <v>10737</v>
      </c>
      <c r="F71">
        <v>5.37</v>
      </c>
      <c r="G71" t="s">
        <v>44</v>
      </c>
      <c r="H71" t="s">
        <v>82</v>
      </c>
      <c r="I71">
        <v>778.85265161122345</v>
      </c>
    </row>
    <row r="72" spans="1:9" x14ac:dyDescent="0.2">
      <c r="A72">
        <v>531472</v>
      </c>
      <c r="B72" t="s">
        <v>42</v>
      </c>
      <c r="C72" t="s">
        <v>8</v>
      </c>
      <c r="D72" t="s">
        <v>43</v>
      </c>
      <c r="E72">
        <v>10751</v>
      </c>
      <c r="F72">
        <v>5.38</v>
      </c>
      <c r="G72" t="s">
        <v>44</v>
      </c>
      <c r="H72" t="s">
        <v>82</v>
      </c>
      <c r="I72">
        <v>780.30302898852551</v>
      </c>
    </row>
    <row r="73" spans="1:9" x14ac:dyDescent="0.2">
      <c r="A73">
        <v>538527</v>
      </c>
      <c r="B73" t="s">
        <v>42</v>
      </c>
      <c r="C73" t="s">
        <v>8</v>
      </c>
      <c r="D73" t="s">
        <v>43</v>
      </c>
      <c r="E73">
        <v>10344</v>
      </c>
      <c r="F73">
        <v>5.17</v>
      </c>
      <c r="G73" t="s">
        <v>44</v>
      </c>
      <c r="H73" t="s">
        <v>82</v>
      </c>
      <c r="I73">
        <v>749.84510406518166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0FF3-A3BA-B141-9D3A-19CB2BD07BC3}">
  <dimension ref="A1:D4"/>
  <sheetViews>
    <sheetView workbookViewId="0">
      <selection activeCell="A6" sqref="A6"/>
    </sheetView>
  </sheetViews>
  <sheetFormatPr baseColWidth="10" defaultRowHeight="16" x14ac:dyDescent="0.2"/>
  <sheetData>
    <row r="1" spans="1:4" x14ac:dyDescent="0.2">
      <c r="A1" t="s">
        <v>75</v>
      </c>
      <c r="B1" t="s">
        <v>76</v>
      </c>
      <c r="C1" t="s">
        <v>77</v>
      </c>
      <c r="D1" t="s">
        <v>78</v>
      </c>
    </row>
    <row r="2" spans="1:4" x14ac:dyDescent="0.2">
      <c r="A2">
        <v>3.24</v>
      </c>
      <c r="B2">
        <v>3.63</v>
      </c>
      <c r="C2">
        <v>0.39</v>
      </c>
      <c r="D2">
        <v>2</v>
      </c>
    </row>
    <row r="3" spans="1:4" x14ac:dyDescent="0.2">
      <c r="C3" t="s">
        <v>79</v>
      </c>
      <c r="D3" t="s">
        <v>80</v>
      </c>
    </row>
    <row r="4" spans="1:4" x14ac:dyDescent="0.2">
      <c r="C4">
        <f>CONVERT(C2,"L","gal")</f>
        <v>0.10302710041967789</v>
      </c>
      <c r="D4">
        <f>D2/C4</f>
        <v>19.412368123076924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chart</vt:lpstr>
      <vt:lpstr>Data</vt:lpstr>
      <vt:lpstr>Boost, oil pressure</vt:lpstr>
      <vt:lpstr>Fuel rail pressure</vt:lpstr>
      <vt:lpstr>Fuel economy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Abeed</dc:creator>
  <cp:lastModifiedBy>Abeed</cp:lastModifiedBy>
  <dcterms:created xsi:type="dcterms:W3CDTF">2025-12-28T00:56:36Z</dcterms:created>
  <dcterms:modified xsi:type="dcterms:W3CDTF">2025-12-29T01:42:26Z</dcterms:modified>
</cp:coreProperties>
</file>