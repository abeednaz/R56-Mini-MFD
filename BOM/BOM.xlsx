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beed/Documents/R56 Mini MFD/Repo/R56-Mini-MFD/BOM/"/>
    </mc:Choice>
  </mc:AlternateContent>
  <xr:revisionPtr revIDLastSave="0" documentId="13_ncr:1_{24C223AB-1671-E84B-9E14-4F35327C9F73}" xr6:coauthVersionLast="36" xr6:coauthVersionMax="36" xr10:uidLastSave="{00000000-0000-0000-0000-000000000000}"/>
  <bookViews>
    <workbookView xWindow="2560" yWindow="500" windowWidth="28040" windowHeight="16940" xr2:uid="{FFC72108-2F10-AA49-A7E5-85F5E02E1BC5}"/>
  </bookViews>
  <sheets>
    <sheet name="Sheet1" sheetId="1" r:id="rId1"/>
    <sheet name="Connector board KiCad BOM" sheetId="2" r:id="rId2"/>
    <sheet name="Screen board KiCad BOM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9" i="1" l="1"/>
  <c r="F28" i="1"/>
  <c r="F25" i="1"/>
  <c r="F21" i="1"/>
  <c r="E20" i="1"/>
  <c r="F20" i="1" s="1"/>
  <c r="E3" i="1"/>
  <c r="F3" i="1" s="1"/>
  <c r="F15" i="1"/>
  <c r="F18" i="1"/>
  <c r="F19" i="1"/>
  <c r="F12" i="1"/>
  <c r="F13" i="1"/>
  <c r="F14" i="1"/>
  <c r="F16" i="1"/>
  <c r="F17" i="1"/>
  <c r="F4" i="1"/>
  <c r="F5" i="1"/>
  <c r="F6" i="1"/>
  <c r="F7" i="1"/>
  <c r="F8" i="1"/>
  <c r="F9" i="1"/>
  <c r="F10" i="1"/>
  <c r="F11" i="1"/>
  <c r="F1" i="1" l="1"/>
</calcChain>
</file>

<file path=xl/sharedStrings.xml><?xml version="1.0" encoding="utf-8"?>
<sst xmlns="http://schemas.openxmlformats.org/spreadsheetml/2006/main" count="195" uniqueCount="112">
  <si>
    <t>Item</t>
  </si>
  <si>
    <t>QTY</t>
  </si>
  <si>
    <t>Cost</t>
  </si>
  <si>
    <t>Subassembly</t>
  </si>
  <si>
    <t>Notes</t>
  </si>
  <si>
    <t>Manufacturer</t>
  </si>
  <si>
    <t>Part number</t>
  </si>
  <si>
    <t>Reference</t>
  </si>
  <si>
    <t>Value</t>
  </si>
  <si>
    <t>Datasheet</t>
  </si>
  <si>
    <t>Footprint</t>
  </si>
  <si>
    <t>Qty</t>
  </si>
  <si>
    <t>DNP</t>
  </si>
  <si>
    <t>J1</t>
  </si>
  <si>
    <t>Conn_02x08_Top_Bottom</t>
  </si>
  <si>
    <t>~</t>
  </si>
  <si>
    <t>Connector_Molex:CONN16_5016451620_MOL_Renumbered</t>
  </si>
  <si>
    <t>J2</t>
  </si>
  <si>
    <t>Conn_02x08_J1962_Male</t>
  </si>
  <si>
    <t>OBD_connectors:OBD-II_Male_Connector_Renumbered</t>
  </si>
  <si>
    <t>J3</t>
  </si>
  <si>
    <t>J4</t>
  </si>
  <si>
    <t>Conn_01x02_Socket</t>
  </si>
  <si>
    <t>Connector_Molex:CONN02_2125280200_MOL</t>
  </si>
  <si>
    <t>Q1</t>
  </si>
  <si>
    <t>IRF540N</t>
  </si>
  <si>
    <t>http://www.irf.com/product-info/datasheets/data/irf540n.pdf</t>
  </si>
  <si>
    <t>Package_TO_SOT_THT:TO-220-3_Vertical</t>
  </si>
  <si>
    <t>Q2</t>
  </si>
  <si>
    <t>IRF9540N</t>
  </si>
  <si>
    <t>http://www.irf.com/product-info/datasheets/data/irf9540n.pdf</t>
  </si>
  <si>
    <t>R1</t>
  </si>
  <si>
    <t>10k</t>
  </si>
  <si>
    <t>Resistor_THT:R_Axial_DIN0207_L6.3mm_D2.5mm_P10.16mm_Horizontal</t>
  </si>
  <si>
    <t>R2</t>
  </si>
  <si>
    <t>1Meg</t>
  </si>
  <si>
    <t>SW1</t>
  </si>
  <si>
    <t>SW_SPDT</t>
  </si>
  <si>
    <t>EG1218</t>
  </si>
  <si>
    <t>Button_Switch_THT:SW_1218_EWI</t>
  </si>
  <si>
    <t>U1</t>
  </si>
  <si>
    <t>TSR_1-2450</t>
  </si>
  <si>
    <t>http://www.tracopower.com/products/tsr1.pdf</t>
  </si>
  <si>
    <t>Converter_DCDC:Converter_DCDC_TRACO_TSR-1_THT</t>
  </si>
  <si>
    <t>C1</t>
  </si>
  <si>
    <t>0.1uF</t>
  </si>
  <si>
    <t>Capacitor_THT:C_Disc_D4.3mm_W1.9mm_P5.00mm</t>
  </si>
  <si>
    <t>D1</t>
  </si>
  <si>
    <t>1N5817</t>
  </si>
  <si>
    <t>Diode_THT:D_DO-15_P12.70mm_Horizontal</t>
  </si>
  <si>
    <t>Conn_01x08_Pin</t>
  </si>
  <si>
    <t>Connector_PinHeader_2.54mm:PinHeader_1x08_P2.54mm_Vertical</t>
  </si>
  <si>
    <t>Connector_Molex:Molex_Nano-Fit_105313-xx02_1x02_P2.50mm_Horizontal</t>
  </si>
  <si>
    <t>R3</t>
  </si>
  <si>
    <t>LDR</t>
  </si>
  <si>
    <t>http://www.tme.eu/de/Document/f2e3ad76a925811312d226c31da4cd7e/LDR07.pdf</t>
  </si>
  <si>
    <t>OptoDevice:R_LDR_5.1x4.3mm_P3.4mm_Vertical_(respaced_silkscreen)</t>
  </si>
  <si>
    <t>1825910-6</t>
  </si>
  <si>
    <t>Button_Switch_THT:SW_1825910-6-4</t>
  </si>
  <si>
    <t>SW2</t>
  </si>
  <si>
    <t>Connector board</t>
  </si>
  <si>
    <t>Molex</t>
  </si>
  <si>
    <t>International Rectifier</t>
  </si>
  <si>
    <t>(Generic)</t>
  </si>
  <si>
    <t>E-Switch</t>
  </si>
  <si>
    <t>Switch</t>
  </si>
  <si>
    <t>Did not use for connector board</t>
  </si>
  <si>
    <t>Wire</t>
  </si>
  <si>
    <t>DC-DC Converter</t>
  </si>
  <si>
    <t>DIN0207 Resistor</t>
  </si>
  <si>
    <t>TO-220 NMOS Transistor</t>
  </si>
  <si>
    <t>TO-220 PMOS Transistor</t>
  </si>
  <si>
    <t>J1962 Male Connector</t>
  </si>
  <si>
    <t>Olimex</t>
  </si>
  <si>
    <t>CONNECTOR-OBD2</t>
  </si>
  <si>
    <t>TE Connectivity</t>
  </si>
  <si>
    <t>179631-2</t>
  </si>
  <si>
    <t>Connector board to screen board</t>
  </si>
  <si>
    <t>Terminal contact Nano-fit</t>
  </si>
  <si>
    <t>iGrid 16-pin Receptacle</t>
  </si>
  <si>
    <t>iGrid 16-pin connector housing</t>
  </si>
  <si>
    <t>Nano-fit 2-pin connector header</t>
  </si>
  <si>
    <t>ELM327 to connector board</t>
  </si>
  <si>
    <t>Line total</t>
  </si>
  <si>
    <t>Nano-fit 2-pin connector housing</t>
  </si>
  <si>
    <t>TSR 1-2450E</t>
  </si>
  <si>
    <t>Traco Power</t>
  </si>
  <si>
    <t>776001-1</t>
  </si>
  <si>
    <t>J1962 Female Connector Housing</t>
  </si>
  <si>
    <t>J1962 Female Connector Terminal contact</t>
  </si>
  <si>
    <t>iGrid 16-pin connector Terminal contact</t>
  </si>
  <si>
    <t>Connector board PCB</t>
  </si>
  <si>
    <t>JLCPCB</t>
  </si>
  <si>
    <t>Y5-10482731A</t>
  </si>
  <si>
    <t>Self designed</t>
  </si>
  <si>
    <t>Y2-10482731A</t>
  </si>
  <si>
    <t>Screen accessory board PCB</t>
  </si>
  <si>
    <t>TOTAL:</t>
  </si>
  <si>
    <t>ESP32-S3 AMOLED module</t>
  </si>
  <si>
    <t>Waveshare</t>
  </si>
  <si>
    <t>ESP32-S3-Touch-AMOLED-1.75</t>
  </si>
  <si>
    <t>Gauge pod</t>
  </si>
  <si>
    <t>Disc capacitor</t>
  </si>
  <si>
    <t>1N5917</t>
  </si>
  <si>
    <t>DO-15 diode</t>
  </si>
  <si>
    <t>Male pin header 1x8</t>
  </si>
  <si>
    <t>Light-dependent resistor</t>
  </si>
  <si>
    <t>PTS647SN50SMTR2</t>
  </si>
  <si>
    <t>C&amp;K</t>
  </si>
  <si>
    <t>Pushbutton SPST-NO</t>
  </si>
  <si>
    <t>PETG Filament</t>
  </si>
  <si>
    <t>Dowel pin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</si>
</sst>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">
    <xf numFmtId="0" fontId="0" fillId="0" borderId="0" xfId="0"/>
    <xf numFmtId="0" fontId="2" fillId="0" borderId="0" xfId="0" applyFont="1"/>
    <xf numFmtId="44" fontId="0" fillId="0" borderId="0" xfId="1" applyNumberFormat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64501-78A0-674C-8580-D8DA37310653}">
  <dimension ref="A1:H31"/>
  <sheetViews>
    <sheetView tabSelected="1" workbookViewId="0">
      <selection activeCell="A32" sqref="A32"/>
    </sheetView>
  </sheetViews>
  <sheetFormatPr baseColWidth="10" defaultRowHeight="16" x14ac:dyDescent="0.2"/>
  <cols>
    <col min="1" max="1" width="51.5" customWidth="1"/>
    <col min="2" max="2" width="16.6640625" customWidth="1"/>
    <col min="3" max="3" width="26.83203125" bestFit="1" customWidth="1"/>
    <col min="5" max="6" width="10.83203125" style="2"/>
    <col min="7" max="7" width="28.1640625" bestFit="1" customWidth="1"/>
  </cols>
  <sheetData>
    <row r="1" spans="1:8" x14ac:dyDescent="0.2">
      <c r="E1" s="2" t="s">
        <v>97</v>
      </c>
      <c r="F1" s="2">
        <f>SUM(F3:F40)</f>
        <v>48.650799999999997</v>
      </c>
    </row>
    <row r="2" spans="1:8" x14ac:dyDescent="0.2">
      <c r="A2" t="s">
        <v>0</v>
      </c>
      <c r="B2" t="s">
        <v>5</v>
      </c>
      <c r="C2" t="s">
        <v>6</v>
      </c>
      <c r="D2" t="s">
        <v>1</v>
      </c>
      <c r="E2" s="2" t="s">
        <v>2</v>
      </c>
      <c r="F2" s="2" t="s">
        <v>83</v>
      </c>
      <c r="G2" t="s">
        <v>3</v>
      </c>
      <c r="H2" t="s">
        <v>4</v>
      </c>
    </row>
    <row r="3" spans="1:8" x14ac:dyDescent="0.2">
      <c r="A3" t="s">
        <v>91</v>
      </c>
      <c r="B3" t="s">
        <v>92</v>
      </c>
      <c r="C3" t="s">
        <v>95</v>
      </c>
      <c r="D3">
        <v>1</v>
      </c>
      <c r="E3" s="2">
        <f>2.19/5</f>
        <v>0.438</v>
      </c>
      <c r="F3" s="2">
        <f t="shared" ref="F3:F19" si="0">E3*D3</f>
        <v>0.438</v>
      </c>
      <c r="G3" t="s">
        <v>60</v>
      </c>
      <c r="H3" t="s">
        <v>94</v>
      </c>
    </row>
    <row r="4" spans="1:8" x14ac:dyDescent="0.2">
      <c r="A4" t="s">
        <v>72</v>
      </c>
      <c r="B4" t="s">
        <v>73</v>
      </c>
      <c r="C4" t="s">
        <v>74</v>
      </c>
      <c r="D4">
        <v>1</v>
      </c>
      <c r="E4" s="2">
        <v>2.02</v>
      </c>
      <c r="F4" s="2">
        <f t="shared" si="0"/>
        <v>2.02</v>
      </c>
      <c r="G4" t="s">
        <v>60</v>
      </c>
    </row>
    <row r="5" spans="1:8" x14ac:dyDescent="0.2">
      <c r="A5" t="s">
        <v>79</v>
      </c>
      <c r="B5" t="s">
        <v>61</v>
      </c>
      <c r="C5">
        <v>5016451620</v>
      </c>
      <c r="D5">
        <v>1</v>
      </c>
      <c r="E5" s="2">
        <v>0.37459999999999999</v>
      </c>
      <c r="F5" s="2">
        <f t="shared" si="0"/>
        <v>0.37459999999999999</v>
      </c>
      <c r="G5" t="s">
        <v>60</v>
      </c>
    </row>
    <row r="6" spans="1:8" x14ac:dyDescent="0.2">
      <c r="A6" t="s">
        <v>81</v>
      </c>
      <c r="B6" t="s">
        <v>61</v>
      </c>
      <c r="C6">
        <v>1053131102</v>
      </c>
      <c r="D6">
        <v>2</v>
      </c>
      <c r="E6" s="2">
        <v>0.7036</v>
      </c>
      <c r="F6" s="2">
        <f t="shared" si="0"/>
        <v>1.4072</v>
      </c>
      <c r="G6" t="s">
        <v>60</v>
      </c>
    </row>
    <row r="7" spans="1:8" x14ac:dyDescent="0.2">
      <c r="A7" t="s">
        <v>71</v>
      </c>
      <c r="B7" t="s">
        <v>62</v>
      </c>
      <c r="C7" t="s">
        <v>29</v>
      </c>
      <c r="D7">
        <v>1</v>
      </c>
      <c r="E7" s="2">
        <v>0.93</v>
      </c>
      <c r="F7" s="2">
        <f t="shared" si="0"/>
        <v>0.93</v>
      </c>
      <c r="G7" t="s">
        <v>60</v>
      </c>
    </row>
    <row r="8" spans="1:8" x14ac:dyDescent="0.2">
      <c r="A8" t="s">
        <v>70</v>
      </c>
      <c r="B8" t="s">
        <v>62</v>
      </c>
      <c r="C8" t="s">
        <v>25</v>
      </c>
      <c r="D8">
        <v>1</v>
      </c>
      <c r="E8" s="2">
        <v>0.91</v>
      </c>
      <c r="F8" s="2">
        <f t="shared" si="0"/>
        <v>0.91</v>
      </c>
      <c r="G8" t="s">
        <v>60</v>
      </c>
    </row>
    <row r="9" spans="1:8" x14ac:dyDescent="0.2">
      <c r="A9" t="s">
        <v>69</v>
      </c>
      <c r="B9" t="s">
        <v>63</v>
      </c>
      <c r="D9">
        <v>2</v>
      </c>
      <c r="F9" s="2">
        <f t="shared" si="0"/>
        <v>0</v>
      </c>
      <c r="G9" t="s">
        <v>60</v>
      </c>
    </row>
    <row r="10" spans="1:8" x14ac:dyDescent="0.2">
      <c r="A10" t="s">
        <v>65</v>
      </c>
      <c r="B10" t="s">
        <v>64</v>
      </c>
      <c r="C10" t="s">
        <v>38</v>
      </c>
      <c r="D10">
        <v>0</v>
      </c>
      <c r="E10" s="2">
        <v>0.76</v>
      </c>
      <c r="F10" s="2">
        <f t="shared" si="0"/>
        <v>0</v>
      </c>
      <c r="G10" t="s">
        <v>60</v>
      </c>
      <c r="H10" t="s">
        <v>66</v>
      </c>
    </row>
    <row r="11" spans="1:8" x14ac:dyDescent="0.2">
      <c r="A11" t="s">
        <v>68</v>
      </c>
      <c r="B11" t="s">
        <v>86</v>
      </c>
      <c r="C11" t="s">
        <v>85</v>
      </c>
      <c r="D11">
        <v>1</v>
      </c>
      <c r="E11" s="2">
        <v>5.0762</v>
      </c>
      <c r="F11" s="2">
        <f t="shared" si="0"/>
        <v>5.0762</v>
      </c>
      <c r="G11" t="s">
        <v>60</v>
      </c>
    </row>
    <row r="12" spans="1:8" x14ac:dyDescent="0.2">
      <c r="A12" t="s">
        <v>88</v>
      </c>
      <c r="B12" t="s">
        <v>75</v>
      </c>
      <c r="C12" t="s">
        <v>76</v>
      </c>
      <c r="D12">
        <v>1</v>
      </c>
      <c r="E12" s="2">
        <v>1.43</v>
      </c>
      <c r="F12" s="2">
        <f t="shared" si="0"/>
        <v>1.43</v>
      </c>
      <c r="G12" t="s">
        <v>82</v>
      </c>
    </row>
    <row r="13" spans="1:8" x14ac:dyDescent="0.2">
      <c r="A13" t="s">
        <v>89</v>
      </c>
      <c r="B13" t="s">
        <v>75</v>
      </c>
      <c r="C13" t="s">
        <v>87</v>
      </c>
      <c r="D13">
        <v>16</v>
      </c>
      <c r="E13" s="2">
        <v>0.152</v>
      </c>
      <c r="F13" s="2">
        <f>E13*D13</f>
        <v>2.4319999999999999</v>
      </c>
      <c r="G13" t="s">
        <v>82</v>
      </c>
    </row>
    <row r="14" spans="1:8" x14ac:dyDescent="0.2">
      <c r="A14" t="s">
        <v>80</v>
      </c>
      <c r="B14" t="s">
        <v>61</v>
      </c>
      <c r="C14">
        <v>5016461600</v>
      </c>
      <c r="D14">
        <v>1</v>
      </c>
      <c r="E14" s="2">
        <v>0.2036</v>
      </c>
      <c r="F14" s="2">
        <f t="shared" si="0"/>
        <v>0.2036</v>
      </c>
      <c r="G14" t="s">
        <v>82</v>
      </c>
    </row>
    <row r="15" spans="1:8" x14ac:dyDescent="0.2">
      <c r="A15" t="s">
        <v>90</v>
      </c>
      <c r="B15" t="s">
        <v>61</v>
      </c>
      <c r="C15">
        <v>5016471000</v>
      </c>
      <c r="D15">
        <v>16</v>
      </c>
      <c r="E15" s="2">
        <v>1.2999999999999999E-2</v>
      </c>
      <c r="F15" s="2">
        <f t="shared" si="0"/>
        <v>0.20799999999999999</v>
      </c>
      <c r="G15" t="s">
        <v>82</v>
      </c>
    </row>
    <row r="16" spans="1:8" x14ac:dyDescent="0.2">
      <c r="A16" t="s">
        <v>67</v>
      </c>
      <c r="B16" t="s">
        <v>63</v>
      </c>
      <c r="F16" s="2">
        <f t="shared" si="0"/>
        <v>0</v>
      </c>
      <c r="G16" t="s">
        <v>82</v>
      </c>
    </row>
    <row r="17" spans="1:8" x14ac:dyDescent="0.2">
      <c r="A17" t="s">
        <v>67</v>
      </c>
      <c r="B17" t="s">
        <v>63</v>
      </c>
      <c r="F17" s="2">
        <f t="shared" si="0"/>
        <v>0</v>
      </c>
      <c r="G17" t="s">
        <v>77</v>
      </c>
    </row>
    <row r="18" spans="1:8" x14ac:dyDescent="0.2">
      <c r="A18" t="s">
        <v>84</v>
      </c>
      <c r="B18" t="s">
        <v>61</v>
      </c>
      <c r="C18" s="1">
        <v>1053071202</v>
      </c>
      <c r="D18">
        <v>2</v>
      </c>
      <c r="E18" s="2">
        <v>0.19700000000000001</v>
      </c>
      <c r="F18" s="2">
        <f t="shared" si="0"/>
        <v>0.39400000000000002</v>
      </c>
      <c r="G18" t="s">
        <v>77</v>
      </c>
    </row>
    <row r="19" spans="1:8" x14ac:dyDescent="0.2">
      <c r="A19" t="s">
        <v>78</v>
      </c>
      <c r="B19" t="s">
        <v>61</v>
      </c>
      <c r="C19">
        <v>1053002100</v>
      </c>
      <c r="D19">
        <v>4</v>
      </c>
      <c r="E19" s="2">
        <v>5.8000000000000003E-2</v>
      </c>
      <c r="F19" s="2">
        <f t="shared" si="0"/>
        <v>0.23200000000000001</v>
      </c>
      <c r="G19" t="s">
        <v>77</v>
      </c>
    </row>
    <row r="20" spans="1:8" x14ac:dyDescent="0.2">
      <c r="A20" t="s">
        <v>96</v>
      </c>
      <c r="B20" t="s">
        <v>92</v>
      </c>
      <c r="C20" t="s">
        <v>93</v>
      </c>
      <c r="D20">
        <v>1</v>
      </c>
      <c r="E20" s="2">
        <f>2.19/5</f>
        <v>0.438</v>
      </c>
      <c r="F20" s="2">
        <f t="shared" ref="F20:F21" si="1">E20*D20</f>
        <v>0.438</v>
      </c>
      <c r="G20" t="s">
        <v>101</v>
      </c>
      <c r="H20" t="s">
        <v>94</v>
      </c>
    </row>
    <row r="21" spans="1:8" x14ac:dyDescent="0.2">
      <c r="A21" t="s">
        <v>98</v>
      </c>
      <c r="B21" t="s">
        <v>99</v>
      </c>
      <c r="C21" t="s">
        <v>100</v>
      </c>
      <c r="D21">
        <v>1</v>
      </c>
      <c r="E21" s="2">
        <v>29.99</v>
      </c>
      <c r="F21" s="2">
        <f t="shared" si="1"/>
        <v>29.99</v>
      </c>
      <c r="G21" t="s">
        <v>101</v>
      </c>
    </row>
    <row r="22" spans="1:8" x14ac:dyDescent="0.2">
      <c r="A22" t="s">
        <v>102</v>
      </c>
      <c r="B22" t="s">
        <v>63</v>
      </c>
      <c r="D22">
        <v>1</v>
      </c>
      <c r="G22" t="s">
        <v>101</v>
      </c>
    </row>
    <row r="23" spans="1:8" x14ac:dyDescent="0.2">
      <c r="A23" t="s">
        <v>104</v>
      </c>
      <c r="B23" t="s">
        <v>63</v>
      </c>
      <c r="C23" t="s">
        <v>103</v>
      </c>
      <c r="D23">
        <v>1</v>
      </c>
      <c r="G23" t="s">
        <v>101</v>
      </c>
    </row>
    <row r="24" spans="1:8" x14ac:dyDescent="0.2">
      <c r="A24" t="s">
        <v>105</v>
      </c>
      <c r="B24" t="s">
        <v>63</v>
      </c>
      <c r="D24">
        <v>1</v>
      </c>
      <c r="G24" t="s">
        <v>101</v>
      </c>
    </row>
    <row r="25" spans="1:8" x14ac:dyDescent="0.2">
      <c r="A25" t="s">
        <v>69</v>
      </c>
      <c r="B25" t="s">
        <v>63</v>
      </c>
      <c r="D25">
        <v>2</v>
      </c>
      <c r="F25" s="2">
        <f t="shared" ref="F25" si="2">E25*D25</f>
        <v>0</v>
      </c>
      <c r="G25" t="s">
        <v>101</v>
      </c>
    </row>
    <row r="26" spans="1:8" x14ac:dyDescent="0.2">
      <c r="A26" t="s">
        <v>106</v>
      </c>
      <c r="B26" t="s">
        <v>63</v>
      </c>
      <c r="D26">
        <v>1</v>
      </c>
      <c r="G26" t="s">
        <v>101</v>
      </c>
    </row>
    <row r="27" spans="1:8" x14ac:dyDescent="0.2">
      <c r="A27" t="s">
        <v>109</v>
      </c>
      <c r="B27" t="s">
        <v>108</v>
      </c>
      <c r="C27" t="s">
        <v>107</v>
      </c>
      <c r="D27">
        <v>1</v>
      </c>
      <c r="E27" s="2">
        <v>0.18</v>
      </c>
      <c r="G27" t="s">
        <v>101</v>
      </c>
    </row>
    <row r="28" spans="1:8" x14ac:dyDescent="0.2">
      <c r="A28" t="s">
        <v>81</v>
      </c>
      <c r="B28" t="s">
        <v>61</v>
      </c>
      <c r="C28">
        <v>1053131102</v>
      </c>
      <c r="D28">
        <v>2</v>
      </c>
      <c r="E28" s="2">
        <v>0.7036</v>
      </c>
      <c r="F28" s="2">
        <f t="shared" ref="F28:F29" si="3">E28*D28</f>
        <v>1.4072</v>
      </c>
      <c r="G28" t="s">
        <v>101</v>
      </c>
    </row>
    <row r="29" spans="1:8" x14ac:dyDescent="0.2">
      <c r="A29" t="s">
        <v>65</v>
      </c>
      <c r="B29" t="s">
        <v>64</v>
      </c>
      <c r="C29" t="s">
        <v>38</v>
      </c>
      <c r="D29">
        <v>1</v>
      </c>
      <c r="E29" s="2">
        <v>0.76</v>
      </c>
      <c r="F29" s="2">
        <f t="shared" si="3"/>
        <v>0.76</v>
      </c>
      <c r="G29" t="s">
        <v>101</v>
      </c>
    </row>
    <row r="30" spans="1:8" x14ac:dyDescent="0.2">
      <c r="A30" t="s">
        <v>110</v>
      </c>
    </row>
    <row r="31" spans="1:8" x14ac:dyDescent="0.2">
      <c r="A31" t="s">
        <v>111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40D9C-FF2B-2A4D-BCB1-73929EDE5DF6}">
  <dimension ref="A1:F11"/>
  <sheetViews>
    <sheetView workbookViewId="0">
      <selection activeCell="B6" sqref="B6:B7"/>
    </sheetView>
  </sheetViews>
  <sheetFormatPr baseColWidth="10" defaultRowHeight="16" x14ac:dyDescent="0.2"/>
  <cols>
    <col min="1" max="1" width="9.5" bestFit="1" customWidth="1"/>
    <col min="2" max="2" width="22.5" bestFit="1" customWidth="1"/>
    <col min="3" max="3" width="54.83203125" bestFit="1" customWidth="1"/>
    <col min="4" max="4" width="63.1640625" bestFit="1" customWidth="1"/>
    <col min="5" max="5" width="4" bestFit="1" customWidth="1"/>
    <col min="6" max="6" width="4.6640625" bestFit="1" customWidth="1"/>
  </cols>
  <sheetData>
    <row r="1" spans="1:6" x14ac:dyDescent="0.2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</row>
    <row r="2" spans="1:6" x14ac:dyDescent="0.2">
      <c r="A2" t="s">
        <v>13</v>
      </c>
      <c r="B2" t="s">
        <v>14</v>
      </c>
      <c r="C2" t="s">
        <v>15</v>
      </c>
      <c r="D2" t="s">
        <v>16</v>
      </c>
      <c r="E2">
        <v>1</v>
      </c>
    </row>
    <row r="3" spans="1:6" x14ac:dyDescent="0.2">
      <c r="A3" t="s">
        <v>17</v>
      </c>
      <c r="B3" t="s">
        <v>18</v>
      </c>
      <c r="C3" t="s">
        <v>15</v>
      </c>
      <c r="D3" t="s">
        <v>19</v>
      </c>
      <c r="E3">
        <v>1</v>
      </c>
    </row>
    <row r="4" spans="1:6" x14ac:dyDescent="0.2">
      <c r="A4" t="s">
        <v>20</v>
      </c>
      <c r="B4" t="s">
        <v>22</v>
      </c>
      <c r="C4" t="s">
        <v>15</v>
      </c>
      <c r="D4" t="s">
        <v>23</v>
      </c>
      <c r="E4">
        <v>2</v>
      </c>
    </row>
    <row r="5" spans="1:6" x14ac:dyDescent="0.2">
      <c r="A5" t="s">
        <v>21</v>
      </c>
      <c r="B5" t="s">
        <v>22</v>
      </c>
      <c r="C5" t="s">
        <v>15</v>
      </c>
      <c r="D5" t="s">
        <v>23</v>
      </c>
      <c r="E5">
        <v>2</v>
      </c>
    </row>
    <row r="6" spans="1:6" x14ac:dyDescent="0.2">
      <c r="A6" t="s">
        <v>24</v>
      </c>
      <c r="B6" t="s">
        <v>25</v>
      </c>
      <c r="C6" t="s">
        <v>26</v>
      </c>
      <c r="D6" t="s">
        <v>27</v>
      </c>
      <c r="E6">
        <v>1</v>
      </c>
    </row>
    <row r="7" spans="1:6" x14ac:dyDescent="0.2">
      <c r="A7" t="s">
        <v>28</v>
      </c>
      <c r="B7" t="s">
        <v>29</v>
      </c>
      <c r="C7" t="s">
        <v>30</v>
      </c>
      <c r="D7" t="s">
        <v>27</v>
      </c>
      <c r="E7">
        <v>1</v>
      </c>
    </row>
    <row r="8" spans="1:6" x14ac:dyDescent="0.2">
      <c r="A8" t="s">
        <v>31</v>
      </c>
      <c r="B8" t="s">
        <v>32</v>
      </c>
      <c r="C8" t="s">
        <v>15</v>
      </c>
      <c r="D8" t="s">
        <v>33</v>
      </c>
      <c r="E8">
        <v>1</v>
      </c>
    </row>
    <row r="9" spans="1:6" x14ac:dyDescent="0.2">
      <c r="A9" t="s">
        <v>34</v>
      </c>
      <c r="B9" t="s">
        <v>35</v>
      </c>
      <c r="C9" t="s">
        <v>15</v>
      </c>
      <c r="D9" t="s">
        <v>33</v>
      </c>
      <c r="E9">
        <v>1</v>
      </c>
    </row>
    <row r="10" spans="1:6" x14ac:dyDescent="0.2">
      <c r="A10" t="s">
        <v>36</v>
      </c>
      <c r="B10" t="s">
        <v>37</v>
      </c>
      <c r="C10" t="s">
        <v>38</v>
      </c>
      <c r="D10" t="s">
        <v>39</v>
      </c>
      <c r="E10">
        <v>1</v>
      </c>
    </row>
    <row r="11" spans="1:6" x14ac:dyDescent="0.2">
      <c r="A11" t="s">
        <v>40</v>
      </c>
      <c r="B11" t="s">
        <v>41</v>
      </c>
      <c r="C11" t="s">
        <v>42</v>
      </c>
      <c r="D11" t="s">
        <v>43</v>
      </c>
      <c r="E1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89A3C-1832-1744-89FF-EF3507E55AC1}">
  <dimension ref="A1:F10"/>
  <sheetViews>
    <sheetView workbookViewId="0">
      <selection activeCell="D2" sqref="A1:F10"/>
    </sheetView>
  </sheetViews>
  <sheetFormatPr baseColWidth="10" defaultRowHeight="16" x14ac:dyDescent="0.2"/>
  <cols>
    <col min="1" max="1" width="9.5" bestFit="1" customWidth="1"/>
    <col min="2" max="2" width="17.5" bestFit="1" customWidth="1"/>
    <col min="3" max="3" width="72.6640625" bestFit="1" customWidth="1"/>
    <col min="4" max="4" width="65" bestFit="1" customWidth="1"/>
    <col min="5" max="5" width="4" bestFit="1" customWidth="1"/>
    <col min="6" max="6" width="4.6640625" bestFit="1" customWidth="1"/>
  </cols>
  <sheetData>
    <row r="1" spans="1:6" x14ac:dyDescent="0.2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</row>
    <row r="2" spans="1:6" x14ac:dyDescent="0.2">
      <c r="A2" t="s">
        <v>44</v>
      </c>
      <c r="B2" t="s">
        <v>45</v>
      </c>
      <c r="C2" t="s">
        <v>15</v>
      </c>
      <c r="D2" t="s">
        <v>46</v>
      </c>
      <c r="E2">
        <v>1</v>
      </c>
    </row>
    <row r="3" spans="1:6" x14ac:dyDescent="0.2">
      <c r="A3" t="s">
        <v>47</v>
      </c>
      <c r="B3" t="s">
        <v>48</v>
      </c>
      <c r="C3" t="s">
        <v>15</v>
      </c>
      <c r="D3" t="s">
        <v>49</v>
      </c>
      <c r="E3">
        <v>1</v>
      </c>
    </row>
    <row r="4" spans="1:6" x14ac:dyDescent="0.2">
      <c r="A4" t="s">
        <v>13</v>
      </c>
      <c r="B4" t="s">
        <v>50</v>
      </c>
      <c r="C4" t="s">
        <v>15</v>
      </c>
      <c r="D4" t="s">
        <v>51</v>
      </c>
      <c r="E4">
        <v>1</v>
      </c>
    </row>
    <row r="5" spans="1:6" x14ac:dyDescent="0.2">
      <c r="A5" t="s">
        <v>17</v>
      </c>
      <c r="B5" t="s">
        <v>22</v>
      </c>
      <c r="C5" t="s">
        <v>15</v>
      </c>
      <c r="D5" t="s">
        <v>52</v>
      </c>
      <c r="E5">
        <v>1</v>
      </c>
    </row>
    <row r="6" spans="1:6" x14ac:dyDescent="0.2">
      <c r="A6" t="s">
        <v>31</v>
      </c>
      <c r="B6" t="s">
        <v>32</v>
      </c>
      <c r="C6" t="s">
        <v>15</v>
      </c>
      <c r="D6" t="s">
        <v>33</v>
      </c>
      <c r="E6">
        <v>2</v>
      </c>
    </row>
    <row r="7" spans="1:6" x14ac:dyDescent="0.2">
      <c r="A7" t="s">
        <v>34</v>
      </c>
      <c r="B7" t="s">
        <v>32</v>
      </c>
      <c r="C7" t="s">
        <v>15</v>
      </c>
      <c r="D7" t="s">
        <v>33</v>
      </c>
      <c r="E7">
        <v>2</v>
      </c>
    </row>
    <row r="8" spans="1:6" x14ac:dyDescent="0.2">
      <c r="A8" t="s">
        <v>53</v>
      </c>
      <c r="B8" t="s">
        <v>54</v>
      </c>
      <c r="C8" t="s">
        <v>55</v>
      </c>
      <c r="D8" t="s">
        <v>56</v>
      </c>
      <c r="E8">
        <v>1</v>
      </c>
    </row>
    <row r="9" spans="1:6" x14ac:dyDescent="0.2">
      <c r="A9" t="s">
        <v>36</v>
      </c>
      <c r="B9" t="s">
        <v>57</v>
      </c>
      <c r="D9" t="s">
        <v>58</v>
      </c>
      <c r="E9">
        <v>1</v>
      </c>
    </row>
    <row r="10" spans="1:6" x14ac:dyDescent="0.2">
      <c r="A10" t="s">
        <v>59</v>
      </c>
      <c r="B10" t="s">
        <v>37</v>
      </c>
      <c r="C10" t="s">
        <v>15</v>
      </c>
      <c r="D10" t="s">
        <v>39</v>
      </c>
      <c r="E1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Connector board KiCad BOM</vt:lpstr>
      <vt:lpstr>Screen board KiCad BOM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Abeed</dc:creator>
  <cp:lastModifiedBy>Abeed</cp:lastModifiedBy>
  <dcterms:created xsi:type="dcterms:W3CDTF">2026-01-12T01:48:31Z</dcterms:created>
  <dcterms:modified xsi:type="dcterms:W3CDTF">2026-01-12T03:22:23Z</dcterms:modified>
</cp:coreProperties>
</file>